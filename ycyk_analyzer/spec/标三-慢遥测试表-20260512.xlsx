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375" tabRatio="556" activeTab="3"/>
  </bookViews>
  <sheets>
    <sheet name="修改记录" sheetId="11" r:id="rId1"/>
    <sheet name="通道0（slot0）" sheetId="1" r:id="rId2"/>
    <sheet name="通道1（slot2）" sheetId="10" r:id="rId3"/>
    <sheet name="通道2（slot3）" sheetId="8" r:id="rId4"/>
    <sheet name="通道3（slot5）" sheetId="9" r:id="rId5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7" i="9" l="1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R1" i="9"/>
  <c r="L128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R1" i="8"/>
  <c r="L105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R1" i="10"/>
  <c r="L115" i="1"/>
  <c r="R1" i="1"/>
</calcChain>
</file>

<file path=xl/sharedStrings.xml><?xml version="1.0" encoding="utf-8"?>
<sst xmlns="http://schemas.openxmlformats.org/spreadsheetml/2006/main" count="4162" uniqueCount="694">
  <si>
    <t>日期</t>
  </si>
  <si>
    <t>更新人</t>
  </si>
  <si>
    <t>版本</t>
  </si>
  <si>
    <t>变更说明</t>
  </si>
  <si>
    <t>需求来源</t>
  </si>
  <si>
    <t>李文超</t>
  </si>
  <si>
    <t>1.0.0</t>
  </si>
  <si>
    <t>新增此sheet页，记录自定义遥测参数变化详情</t>
  </si>
  <si>
    <t>张路宁</t>
  </si>
  <si>
    <t>1、更新“通道0（slot0）”sheet页，调整业务FPGA遥测顺序和寄存器规划；
2、更新“通道1（slot1）/通道2（slot3）”sheet页，序号79行“ROE链路反压状态”，修改备注；将“iic异常计数”由97行调整到92行，地址变为0x1a2[7:0]</t>
  </si>
  <si>
    <t>李涛</t>
  </si>
  <si>
    <t>1、更新“slot2和slot3”的PL遥测长度从37修改为38
2、更新“slot2和slot3”的FPGA遥测长度从30修改为28</t>
  </si>
  <si>
    <t>SLOT5中BMU将“Flash擦除状态机状态”移到“FLASH的QE状态”的高4bit，“Flash擦除状态机状态”变更为BMU版本号</t>
  </si>
  <si>
    <t>吴兆礼</t>
  </si>
  <si>
    <r>
      <rPr>
        <sz val="11"/>
        <color theme="1"/>
        <rFont val="宋体"/>
        <charset val="134"/>
        <scheme val="minor"/>
      </rPr>
      <t>1.0.</t>
    </r>
    <r>
      <rPr>
        <sz val="11"/>
        <color theme="1"/>
        <rFont val="宋体"/>
        <charset val="134"/>
        <scheme val="minor"/>
      </rPr>
      <t>0</t>
    </r>
  </si>
  <si>
    <t>缩小pucch rsrp长度</t>
  </si>
  <si>
    <r>
      <rPr>
        <sz val="11"/>
        <color theme="1"/>
        <rFont val="宋体"/>
        <charset val="134"/>
        <scheme val="minor"/>
      </rPr>
      <t>删掉s</t>
    </r>
    <r>
      <rPr>
        <sz val="11"/>
        <color theme="1"/>
        <rFont val="宋体"/>
        <charset val="134"/>
        <scheme val="minor"/>
      </rPr>
      <t>rs次数，pusch snr/rsrp,u32改成u16</t>
    </r>
  </si>
  <si>
    <t>马涛</t>
  </si>
  <si>
    <t>删除“通道1（slot2）”和“通道2（slot3）”sheet页中PL SRS相关参数</t>
  </si>
  <si>
    <t>修改预留bit保证总长度为1184bit</t>
  </si>
  <si>
    <t>在slot3中增加BMU PL的三模遥测和FLASH单粒子计数</t>
  </si>
  <si>
    <t>修改类型与长度</t>
  </si>
  <si>
    <r>
      <rPr>
        <sz val="11"/>
        <color theme="1"/>
        <rFont val="宋体"/>
        <charset val="134"/>
        <scheme val="minor"/>
      </rPr>
      <t>1、在槽位3的BMU上报中变更对齐预留为</t>
    </r>
    <r>
      <rPr>
        <sz val="11"/>
        <color theme="1"/>
        <rFont val="宋体"/>
        <charset val="134"/>
        <scheme val="minor"/>
      </rPr>
      <t xml:space="preserve">SSD硬盘上电标识；
</t>
    </r>
    <r>
      <rPr>
        <sz val="11"/>
        <color theme="1"/>
        <rFont val="宋体"/>
        <charset val="134"/>
        <scheme val="minor"/>
      </rPr>
      <t>2、修改槽位3预留长度；
3、槽位3的BMU上增加1字节标识JTAG过程；</t>
    </r>
  </si>
  <si>
    <t>调整上报顺序以4字节对齐，和接口保持一致</t>
  </si>
  <si>
    <t>1、更新“通道0（slot0）”sheet页，序号73“KA上行压缩输入输出计数状态”调整为“FPGA版本号(PLP0/PLP1)”；</t>
  </si>
  <si>
    <t>模块</t>
  </si>
  <si>
    <t>序号</t>
  </si>
  <si>
    <t>遥测代号</t>
  </si>
  <si>
    <t>参数名称</t>
  </si>
  <si>
    <t>数据类型</t>
  </si>
  <si>
    <t>转换公式</t>
  </si>
  <si>
    <t>转换后数据类型</t>
  </si>
  <si>
    <t>上限</t>
  </si>
  <si>
    <t>下限</t>
  </si>
  <si>
    <t>期望值/
预设值</t>
  </si>
  <si>
    <t>单位</t>
  </si>
  <si>
    <t>长度/bit</t>
  </si>
  <si>
    <t>备注</t>
  </si>
  <si>
    <t>测试时间</t>
  </si>
  <si>
    <t>研发支持</t>
  </si>
  <si>
    <t>验证结果</t>
  </si>
  <si>
    <t>总包长</t>
  </si>
  <si>
    <t>OM</t>
  </si>
  <si>
    <r>
      <rPr>
        <sz val="10"/>
        <color theme="1"/>
        <rFont val="黑体"/>
        <charset val="134"/>
      </rPr>
      <t>消息</t>
    </r>
    <r>
      <rPr>
        <sz val="10"/>
        <color theme="1"/>
        <rFont val="Calibri"/>
        <family val="2"/>
      </rPr>
      <t>ID</t>
    </r>
    <r>
      <rPr>
        <sz val="10"/>
        <color theme="1"/>
        <rFont val="黑体"/>
        <charset val="134"/>
      </rPr>
      <t>（</t>
    </r>
    <r>
      <rPr>
        <sz val="10"/>
        <color theme="1"/>
        <rFont val="Calibri"/>
        <family val="2"/>
      </rPr>
      <t>type=1000</t>
    </r>
    <r>
      <rPr>
        <sz val="10"/>
        <color theme="1"/>
        <rFont val="黑体"/>
        <charset val="134"/>
      </rPr>
      <t>）</t>
    </r>
  </si>
  <si>
    <t>无符号数</t>
  </si>
  <si>
    <t>/</t>
  </si>
  <si>
    <t>整数</t>
  </si>
  <si>
    <t>type=1000</t>
  </si>
  <si>
    <t>消息长度</t>
  </si>
  <si>
    <t>length=21字节</t>
  </si>
  <si>
    <t>遥测ID号</t>
  </si>
  <si>
    <t>CPU版本</t>
  </si>
  <si>
    <t>参考A系统的编译版本号</t>
  </si>
  <si>
    <t>不支持</t>
  </si>
  <si>
    <t>板卡状态</t>
  </si>
  <si>
    <t>BitMap类型，0表示正常。
Bit0：没工作起来（接入完成）
Bit1：从正常变为异常
Bit2：配置文件损坏（没有OM链路配置）
Bit3：om链路链路状态（主控特有）
Bit4：时钟状态（主控特有）
Bit5：接口fpga加载状态
Bit6: S天线阵状态
Bit7: 是否有400M小区（仅主控有效）
Bit0~Bit5：参考A系统原则赋值
Bit6：主控根据S制式的拓扑天线阵表的“天线阵操作状态”赋值，0:enabled为正常，否则为不正常
Bit7：Ka主控查找小区配置表nrCellCfgDlSysBandWidth带宽为400M和nrCellCfgAllowUeType置位bit1的小区，有则表示正常，否则不正常</t>
  </si>
  <si>
    <t>0301</t>
  </si>
  <si>
    <t>李波</t>
  </si>
  <si>
    <t>OM链路建立步骤</t>
  </si>
  <si>
    <t>移植A系统OM链路异常保护方案，根据OM建链流程步骤赋值</t>
  </si>
  <si>
    <t>SNMP请求计数</t>
  </si>
  <si>
    <t>通过u32全局变量在OM_SNMPD_PKTDeal函数中记录收到的snmp请求数，赋值时只取低8bit</t>
  </si>
  <si>
    <t>板卡接入步骤</t>
  </si>
  <si>
    <t>som dev通过全局变量记录子板的板卡接入步骤：
0.板卡初始化
1.发送板卡接入请求置1
2.收到接入应答置2
3.版本更新置3
4.首次开启板卡5s状态机维护定时器置4
5.板卡可用状态上报置5</t>
  </si>
  <si>
    <t>400M小区对应板卡是否接入（仅KA主控有效）</t>
  </si>
  <si>
    <t>主控查找小区配置表nrCellCfgDlSysBandWidth带宽为400M和nrCellCfgAllowUeType置位bit1的小区，根据该小区布配的基带槽位是否接入赋值，0：表示未接入，1：表示接入</t>
  </si>
  <si>
    <t>400M小区接入终端类型</t>
  </si>
  <si>
    <t>主控查找小区配置表nrCellCfgDlSysBandWidth带宽为400M和nrCellCfgAllowUeType置位bit1的小区，根据nrCellCfgAllowUeType的取值赋值</t>
  </si>
  <si>
    <t>Ka天线阵工作模式</t>
  </si>
  <si>
    <t>0:业务/1:维护/2:待机/3:频谱监测/4:自校准，根据拓扑表的天线阵工作模式映射</t>
  </si>
  <si>
    <t>S天线阵工作模式</t>
  </si>
  <si>
    <t>Ka天线阵状态</t>
  </si>
  <si>
    <t>Bit0：主控根据发送Ka拓扑天线阵表的“天线阵操作状态”赋值，0:enabled为正常，否则为不正常
Bit1：主控根据接收Ka拓扑天线阵表的“天线阵操作状态”赋值，0:enabled为正常，否则为不正常</t>
  </si>
  <si>
    <t>400M馈电小区建立失败原因</t>
  </si>
  <si>
    <t>u16全局变量记录本地小区建立错误码，直接赋值</t>
  </si>
  <si>
    <t>400M馈电小区激活失败原因</t>
  </si>
  <si>
    <t>u16全局变量记录逻辑小区激活错误码，直接赋值</t>
  </si>
  <si>
    <t>下行PGC最大值</t>
  </si>
  <si>
    <t>1）OM侧初始化u8变量txPGCMax=0；
2）在TRX加载完成后，启30秒定时器，尝试读取下行8个通道的PGC最大值，在主控上调用OSP_RFM_GET_TRX_INFO接口，读取u8TrxPgc[0]，刷txPGCMax值，自定义遥测上报时进行上报</t>
  </si>
  <si>
    <t>下行PGC最小值</t>
  </si>
  <si>
    <t>1）OM侧初始化u8变量txPGCMin=0；
2）在TRX加载完成后，启30秒定时器，尝试读取下行8个通道的PGC最小值，在主控上调用OSP_RFM_GET_TRX_INFO接口，读取u8TrxPgc[1]，刷txPGCMin值，自定义遥测上报时进行上报</t>
  </si>
  <si>
    <t>TRX0断链次数</t>
  </si>
  <si>
    <t>1）OM侧初始化u8变量trx0LinkBrokenTimes=0；
2）在TRX加载完成后，启30秒定时器，尝试读取trx0断链次数，在主控上读取0x2030寄存器的[7:0]:trx0断链次数计数器（PLP1上），刷trx0LinkBrokenTimes值，自定义遥测上报时进行上报；</t>
  </si>
  <si>
    <t>TRX1断链次数</t>
  </si>
  <si>
    <t>1）OM侧初始化u8变量trx1LinkBrokenTimes=0；
2）在TRX加载完成后，启30秒定时器，尝试读取trx1断链次数，在主控上读取0x2030寄存器的[23:16]:trx1断链次数计数器（PLP1上），刷trx1LinkBrokenTimes，自定义遥测上报时进行上报；</t>
  </si>
  <si>
    <t>TRX0本振失锁状态</t>
  </si>
  <si>
    <t>1）OM侧初始化u8变量trx0LocalOscillationLockStatus=0；（0，未失锁；1，失锁；）
2）在TRX加载完成后，启30秒定时器，尝试读取TRX0本振失锁状态，在主控上调用OSP_RFM_GET_TRX_INFO接口，读取u32TrxPll[0]，刷trx0LocalOscillationLockStatus，自定义遥测上报时进行上报；</t>
  </si>
  <si>
    <t>TRX1本振失锁状态</t>
  </si>
  <si>
    <t>1）OM侧初始化u8变量trx1LocalOscillationLockStatus=0；（0，未失锁；1，失锁；）
2）在TRX加载完成后，启30秒定时器，尝试读取TRX1本振失锁状态，在主控上调用OSP_RFM_GET_TRX_INFO接口，读取u32TrxPll[1]，刷trx1LocalOscillationLockStatus，自定义遥测上报时进行上报；</t>
  </si>
  <si>
    <t>TRX0数字域过功率状态</t>
  </si>
  <si>
    <t>1）OM侧初始化u8变量trx0OverPowerStatus=0；（0，未过功率；1，过功率）
2）在TRX加载完成后，启30秒定时器，尝试读取数字域过功率状态，在主控上调用OSP_RFM_GET_TRX_INFO接口，读取u32TrxPap[0]，刷trx0OverPowerStatus，自定义遥测上报时进行上报；</t>
  </si>
  <si>
    <t>TRX1数字域过功率状态</t>
  </si>
  <si>
    <t>1）OM侧初始化u8变量trx1OverPowerStatus=0；（0，未过功率；1，过功率）
2）在TRX加载完成后，启30秒定时器，尝试读取数字域过功率状态，在主控上调用OSP_RFM_GET_TRX_INFO接口，读取u32TrxPap[1]，赋给trx1OverPowerStatus，自定义遥测上报时进行上报；</t>
  </si>
  <si>
    <t>TRX0建链状态</t>
  </si>
  <si>
    <t>1）OM侧初始化u8变量trx0LinkStatus=0；（0，上下行均未link；1，上行link；2，下行link，3，上下行均link）
2）在TRX加载完成后，启30秒定时器，尝试读取TRX0建链状态，在主控上读取0x2094寄存器的bit[0-1],赋给trx0LinkStatus，自定义遥测上报时进行上报；</t>
  </si>
  <si>
    <t>TRX1建链状态</t>
  </si>
  <si>
    <t>1）OM侧初始化u8变量trx1LinkStatus=0；（0，上下行均未link；1，上行link；2，下行link，3，上下行均link）
2）在TRX加载完成后，启30秒定时器，尝试读取TRX1建链状态，在主控上读取0x2194寄存器的bit[0-1],赋给trx1LinkStatus，自定义遥测上报时进行上报；</t>
  </si>
  <si>
    <t>设备整机掉电计数</t>
  </si>
  <si>
    <t>1）OM侧初始化u8变量equipPowerOffTimes=0；
2）在TRX加载完成后，启30秒定时器，读取0x2032寄存器的[7:0]获得设备整机掉电计数，赋给equipPowerOffTimes，自定义遥测上报时进行上报；</t>
  </si>
  <si>
    <t>PLL失锁计数</t>
  </si>
  <si>
    <t>1）OM侧初始化u8变量pllUnlockedTimes=0；
2）在TRX加载完成后，启30秒定时器，读取0x2033寄存器的[7:0]获得设备整机掉电计数，赋给pllUnlockedTimes，自定义遥测上报时进行上报；</t>
  </si>
  <si>
    <t>PLP0到PLP1断链计数（Aurora口0）</t>
  </si>
  <si>
    <t>1）OM侧初始化u8变量aurora0LinkBrokenTimes=0；
2）在TRX加载完成后，启30秒定时器，尝试读取aurora0断链次数，在主控上读取0x2031寄存器的[7:0]:Aurora0断链次数计数器（PLP1上），刷aurora0LinkBrokenTimes，自定义遥测上报时进行上报；</t>
  </si>
  <si>
    <t>PLP0到PLP1断链计数（Aurora口1）</t>
  </si>
  <si>
    <t>1）OM侧初始化u8变量aurora1LinkBrokenTimes=0；
2）在TRX加载完成后，启30秒定时器，尝试读取aurora1断链次数，在主控上读取0x2031寄存器的[23:16]:Aurora1断链次数计数器（PLP1上），刷aurora1LinkBrokenTimes，自定义遥测上报时进行上报；</t>
  </si>
  <si>
    <t>L3-波位坐标+广播状态</t>
  </si>
  <si>
    <t>消息ID（type=1100）</t>
  </si>
  <si>
    <t>length=40字节</t>
  </si>
  <si>
    <t>张晨阳</t>
  </si>
  <si>
    <t>本地小区id</t>
  </si>
  <si>
    <t>波位1经度</t>
  </si>
  <si>
    <t>有符号数</t>
  </si>
  <si>
    <t>-180000000..180000000，单位：1e-6度</t>
  </si>
  <si>
    <t>波位1纬度</t>
  </si>
  <si>
    <t>-90000000..90000000，单位：1e-6度</t>
  </si>
  <si>
    <t>波位1方位角</t>
  </si>
  <si>
    <t>0..36000，单位：0.01度</t>
  </si>
  <si>
    <t>波位1俯仰角</t>
  </si>
  <si>
    <t>0..9000，单位：0.01度</t>
  </si>
  <si>
    <t>波位2经度</t>
  </si>
  <si>
    <t>波位3纬度</t>
  </si>
  <si>
    <t>波位2方位角</t>
  </si>
  <si>
    <t>波位2俯仰角</t>
  </si>
  <si>
    <t>波位3经度</t>
  </si>
  <si>
    <t>波位3方位角</t>
  </si>
  <si>
    <t>波位3俯仰角</t>
  </si>
  <si>
    <t>MIB广播状态</t>
  </si>
  <si>
    <t>1：HL通知PL成功（O_RRCPHY_NR_PBCH_DATA_INFO）
2：空
3：失败-HL发送消息失败
4：失败--其他原因导致未发送</t>
  </si>
  <si>
    <t>SIB1广播状态</t>
  </si>
  <si>
    <t>1：HL通知MAC成功
2：失败-asn编码失败
3：失败-HL发送消息失败
4：失败--其他原因导致未发送</t>
  </si>
  <si>
    <t>SIB1bis广播状态</t>
  </si>
  <si>
    <t>1：HL通知MAC成功
2：失败-asn编码失败
3：失败-HL发送消息失败
4：失败--其他原因导致未发送
5：广播成功-但未获取到有效星历</t>
  </si>
  <si>
    <t>L3-接入计数器</t>
  </si>
  <si>
    <t>消息ID（type=1101）</t>
  </si>
  <si>
    <t>type=1101</t>
  </si>
  <si>
    <t>gNB RRC连接建立请求次数</t>
  </si>
  <si>
    <t>gNB RRC连接建立成功次数</t>
  </si>
  <si>
    <t>gNB RRC连接建立失败_Reject</t>
  </si>
  <si>
    <t>gNB RRC连接建立失败_Ue无响应</t>
  </si>
  <si>
    <t>RRC连接建立失败_HL处理受限拒绝</t>
  </si>
  <si>
    <t>RRC连接HL获取msg3竞争解决定时器超时</t>
  </si>
  <si>
    <t>RRC连接HL发送MSG4竞争解决定时器超时</t>
  </si>
  <si>
    <t>NG接口UE相关逻辑信令连接建立请求次数</t>
  </si>
  <si>
    <t>NG接口UE相关逻辑信令连接建立成功次数</t>
  </si>
  <si>
    <t>接入流程失败次数_等待初建超时</t>
  </si>
  <si>
    <t>gNB初始上下文建立请求次数</t>
  </si>
  <si>
    <t>gNB初始上下文建立成功次数</t>
  </si>
  <si>
    <t>gNB初始上下文建立失败次数-空口过程失败</t>
  </si>
  <si>
    <t>gNB初始上下文建立失败次数-加密或完整性保护不支持</t>
  </si>
  <si>
    <t>gNB初始上下文建立失败次数-传输层资源不可用</t>
  </si>
  <si>
    <t>PDUSESSION建立请求数</t>
  </si>
  <si>
    <t>PDUSESSION建立成功数</t>
  </si>
  <si>
    <t>gNB RRC连接最大数</t>
  </si>
  <si>
    <t>最大DRB数</t>
  </si>
  <si>
    <t>遗留DRB个数</t>
  </si>
  <si>
    <t>业务FPGA</t>
  </si>
  <si>
    <r>
      <rPr>
        <sz val="11"/>
        <color theme="1"/>
        <rFont val="宋体"/>
        <charset val="134"/>
        <scheme val="minor"/>
      </rPr>
      <t>消息</t>
    </r>
    <r>
      <rPr>
        <sz val="11"/>
        <color theme="1"/>
        <rFont val="宋体"/>
        <charset val="134"/>
        <scheme val="minor"/>
      </rPr>
      <t>ID（type=1800）</t>
    </r>
  </si>
  <si>
    <t>type=1800</t>
  </si>
  <si>
    <t>length=24字节</t>
  </si>
  <si>
    <t>FPGA版本号（PLP0/PLP1）</t>
  </si>
  <si>
    <t>0x1a0[31:16]：PLP0版本号；
0x1a0[15:0]：PLP1版本号；</t>
  </si>
  <si>
    <t>ka上行上报模块cell0-3状态</t>
  </si>
  <si>
    <t>0x1a1</t>
  </si>
  <si>
    <t>ka上行上报模块cell4-7状态</t>
  </si>
  <si>
    <t>0x1a2[31:24]</t>
  </si>
  <si>
    <t>PLP1_jesd(TRX0)_link_status</t>
  </si>
  <si>
    <t>0x1a2[23:22]</t>
  </si>
  <si>
    <t>王东磊</t>
  </si>
  <si>
    <t>PLP1_jesd(TRX1)_link_status</t>
  </si>
  <si>
    <t>0x1a2[21:20]</t>
  </si>
  <si>
    <t>PLP1_aurora(10x)_status</t>
  </si>
  <si>
    <t>0x1a2[19:0]</t>
  </si>
  <si>
    <t>PLP1波控入口出口计数插值</t>
  </si>
  <si>
    <r>
      <rPr>
        <sz val="10"/>
        <color rgb="FFFF0000"/>
        <rFont val="黑体"/>
        <charset val="134"/>
      </rPr>
      <t>0x1a3[31:24]</t>
    </r>
    <r>
      <rPr>
        <sz val="10"/>
        <color theme="1"/>
        <rFont val="黑体"/>
        <charset val="134"/>
      </rPr>
      <t>,寄存器0x92e[7:0]</t>
    </r>
  </si>
  <si>
    <t>田超</t>
  </si>
  <si>
    <t>pingpang缓存ram入口数据包计数</t>
  </si>
  <si>
    <r>
      <rPr>
        <sz val="10"/>
        <color rgb="FFFF0000"/>
        <rFont val="黑体"/>
        <charset val="134"/>
      </rPr>
      <t>0x1a3[23:16]</t>
    </r>
    <r>
      <rPr>
        <sz val="10"/>
        <color theme="1"/>
        <rFont val="黑体"/>
        <charset val="134"/>
      </rPr>
      <t>,0x920[7:0]</t>
    </r>
  </si>
  <si>
    <t>波控消息到达时间错误计数</t>
  </si>
  <si>
    <r>
      <rPr>
        <sz val="10"/>
        <color rgb="FFFF0000"/>
        <rFont val="黑体"/>
        <charset val="134"/>
      </rPr>
      <t>0x1a3[15:8]</t>
    </r>
    <r>
      <rPr>
        <sz val="10"/>
        <color theme="1"/>
        <rFont val="黑体"/>
        <charset val="134"/>
      </rPr>
      <t>,0x921[7:0]，波控模块入口检测波控消息到达时间是否符合标准，不符合标准计数加1</t>
    </r>
  </si>
  <si>
    <t>波控模块出口发送给LVDS的帧头错误计数</t>
  </si>
  <si>
    <r>
      <rPr>
        <sz val="10"/>
        <color rgb="FFFF0000"/>
        <rFont val="黑体"/>
        <charset val="134"/>
      </rPr>
      <t>0x1a3[7:0]</t>
    </r>
    <r>
      <rPr>
        <sz val="10"/>
        <color theme="1"/>
        <rFont val="黑体"/>
        <charset val="134"/>
      </rPr>
      <t>,0x923，波控模块出口发送给LVDS的帧头检测，是否为1acffc1d，不符合计数器加1</t>
    </r>
  </si>
  <si>
    <t>ka_cp_wincell0-3接收与发送包数</t>
  </si>
  <si>
    <t>0x1a4</t>
  </si>
  <si>
    <t>解方英</t>
  </si>
  <si>
    <t>ka_cp_wincell4-7接收与发送包数</t>
  </si>
  <si>
    <t>0x1a5</t>
  </si>
  <si>
    <t>BMU固定填写</t>
  </si>
  <si>
    <t>预留</t>
  </si>
  <si>
    <t>注意：BMU上报遥测按固定位置解析</t>
  </si>
  <si>
    <t>消息ID（type=1052）</t>
  </si>
  <si>
    <t>type=1052</t>
  </si>
  <si>
    <t>length=20字节</t>
  </si>
  <si>
    <t>SS系统SYS_CPU与CORE_CPU的电流</t>
  </si>
  <si>
    <t>SS系统DTB5100芯片供电VCC_Y_SYS_CPU_D0V75与VCC_Y_CORE_CPU_D0V75两个电压的12V输入电流检测，单位是0.1A</t>
  </si>
  <si>
    <t>SS系统DDR_CPU与CPU电流</t>
  </si>
  <si>
    <t>SS系统DTB5100芯片供电VCC_Y_DDR_CPU_D1V1与VCC_Y_CPU_D0V75两个电压的12V输入电流检测，单位是0.1A</t>
  </si>
  <si>
    <t>SS系统IO_CPU与HA_CPU的电流</t>
  </si>
  <si>
    <t>SS系统DTB5100芯片供电VCC_Y_IO_CPU_D1V8与VCC_Y_HA_CPU_D1V2两个电压的12V输入电流检测，单位是0.1A</t>
  </si>
  <si>
    <t>KA系统SYS_CPU与CORE_CPU的电流</t>
  </si>
  <si>
    <t>KA系统DTB5100芯片供电VCC_M_SYS_CPU_D0V75与VCC_M_CORE_CPU_D0V75两个电压的12V输入电流检测，单位是0.1A</t>
  </si>
  <si>
    <t>KA系统DDR_CPU与CPU的电流</t>
  </si>
  <si>
    <t>KA系统DTB5100芯片供电VCC_M_DDR_CPU_D1V1与VCC_M_CPU_D0V75两个电压的12V输入电流检测，单位是0.1A</t>
  </si>
  <si>
    <t>KA系统IO_CPU与HA_CPU的电流</t>
  </si>
  <si>
    <t>KA系统DTB5100芯片供电VCC_M_IO_CPU_D1V8与VCC_M_HA_CPU_D1V2两个电压的12V输入电流检测，单位是0.1A</t>
  </si>
  <si>
    <t>PLP0系统核压供电电流</t>
  </si>
  <si>
    <t>PLP0系统FPGA芯片690T核压供电VCC_PL_INT_D1V0的12V输入电流检测，单位是0.1A</t>
  </si>
  <si>
    <t>PLP0系统D1V2、D3V3、D1V8、D1V0电流</t>
  </si>
  <si>
    <t>PLP0系统FPGA芯片690T供电VCC_PL_MGTAVTT_D1V2与VCC_FPGA_D3V3与VCC_PL_D1V8与VCC_PL_MGTAVCC_D1V0等四个电压的12V输入电流检测，单位是0.1A</t>
  </si>
  <si>
    <t>PLP0系统IO与DDR的电流</t>
  </si>
  <si>
    <t>PLP0系统FPGA芯片690T供电VCC_PL_AUX_IO_1V8与VCC_PL_AUX_IO_2V0与VCC_PL_DDR_D1V5等三个电压的12V输入电流检测，单位是0.1A</t>
  </si>
  <si>
    <t>CPU系统核压供电电流</t>
  </si>
  <si>
    <t>S5000C-M芯片核压供电VCC_U_CPU_VDD_D0V84的12V输入电流检测，单位是0.1A</t>
  </si>
  <si>
    <t>CPU系统D0V9与DDR_VDDQ电流</t>
  </si>
  <si>
    <t>S5000C-M芯片供电VCC_D0V9_CPU与VCC_U_DDR_VDDQ_D1V2两个电压的12V输入电流检测，单位是0.1A</t>
  </si>
  <si>
    <t>CPU系统D1V8C与DDR_VPP的12V电流</t>
  </si>
  <si>
    <t>S5000C-M芯片供电VCC_D1V8C_CPU与VCC_U_DDR_VPP_D2V5两个电压的12V输入电流检测，单位是0.1A</t>
  </si>
  <si>
    <t>SSD硬盘电流</t>
  </si>
  <si>
    <t>SSD0系统的VCC_SSD0_D0V9,VCC_SSD0_D3V3与VCC_SSD0_D1V2，及SSD1系统的VCC_SSD0_D0V9,VCC_SSD0_D3V3与VCC_SSD0_D1V2等共六个电压的12V输入电流检测，单位是0.1A</t>
  </si>
  <si>
    <t>芯片的核压供电电流</t>
  </si>
  <si>
    <t>UCP4008芯片的VCC_UCP_CORE_0V8_A核压12V输入电流检测，单位是0.1A</t>
  </si>
  <si>
    <t>芯片D0V9与D2V5的电流</t>
  </si>
  <si>
    <t>UCP4008芯片VCC_PMA_VPP_D0V9_A与VCC_UCP_D2V5_A的12V输入电流检测</t>
  </si>
  <si>
    <t>芯片D1V8与DDR_VDDQ的电流</t>
  </si>
  <si>
    <t>UCP4008芯片VCC_UCP_D1V8_A与UCP_DDR_VDDQ_D1V2_A的12V输入电流检测</t>
  </si>
  <si>
    <t>PLP1系统核压供电电流</t>
  </si>
  <si>
    <t>PLP1系统FPGA芯片690T核压供电VCC_PL_INT_D1V0的12V输入电流检测，单位是0.1A</t>
  </si>
  <si>
    <t>PLP1系统D1V2、D3V3、D1V8电流</t>
  </si>
  <si>
    <t>PLP1系统FPGA芯片690T供电VCC_PL_MGTAVTT_D1V2与VCC_FPGA_D3V3与VCC_PL_D1V8等三个电压的12V输入电流检测，单位是0.1A</t>
  </si>
  <si>
    <t>PLP1系统D1V0的电流</t>
  </si>
  <si>
    <t>PLP1系统FPGA芯片690T供电VCC_PL_MGTAVCC_D1V0的12V输入电流检测，单位是0.1A</t>
  </si>
  <si>
    <t>BMU系统的电流</t>
  </si>
  <si>
    <t>BMU小系统的VCC_BMU_I_D1V2,VCC_BMU_I_D1V8,VCC_BMU_I_D3V6与VCC_BMU_I_D5V35等四个电压的12V输入电流检测，单位是0.1A</t>
  </si>
  <si>
    <t>慢遥帧序号</t>
  </si>
  <si>
    <t>总计</t>
  </si>
  <si>
    <r>
      <rPr>
        <sz val="11"/>
        <color theme="1"/>
        <rFont val="黑体"/>
        <charset val="134"/>
      </rPr>
      <t>消息</t>
    </r>
    <r>
      <rPr>
        <sz val="10"/>
        <color theme="1"/>
        <rFont val="Calibri"/>
        <family val="2"/>
      </rPr>
      <t>ID</t>
    </r>
  </si>
  <si>
    <t>type=1010</t>
  </si>
  <si>
    <t>length=6字节</t>
  </si>
  <si>
    <t>BitMap类型，0表示正常。
Bit0：没工作起来（接入完成）
Bit1：从正常变为异常
Bit2：配置文件损坏（没有OM链路配置）
Bit3：om链路链路状态（主控特有）
Bit4：时钟状态（主控特有）
Bit5：接口fpga加载状态
Bit6:天线阵状态
Bit7:是否有400M小区（仅KA主控有效）
Bit0~Bit5：参考A系统原则赋值
Bit6~Bit7：赋值0</t>
  </si>
  <si>
    <t>resv</t>
  </si>
  <si>
    <t>L2</t>
  </si>
  <si>
    <t>type=1200(sc),1201(ka)</t>
  </si>
  <si>
    <t>length=33字节</t>
  </si>
  <si>
    <t>prachNoisePower</t>
  </si>
  <si>
    <t>用户索引</t>
  </si>
  <si>
    <t>65535代表小区级上报</t>
  </si>
  <si>
    <t>msg1Num</t>
  </si>
  <si>
    <t>收到的Preamble数量，始终按小区级统计上报</t>
  </si>
  <si>
    <t>（受限终端，先基于prach测通路）</t>
  </si>
  <si>
    <t>msg2Num</t>
  </si>
  <si>
    <t>调度的msg2次数，始终按小区级统计上报</t>
  </si>
  <si>
    <t>msg3OkNum</t>
  </si>
  <si>
    <t>msg3成功次数，始终按小区级统计上报</t>
  </si>
  <si>
    <t>Msg4Num</t>
  </si>
  <si>
    <t>msg4次数，始终按小区级统计上报</t>
  </si>
  <si>
    <t>TA</t>
  </si>
  <si>
    <t>ta抽样，在ueIndex为65535时上报当前最近一个ue的，否则按ueIndex上报</t>
  </si>
  <si>
    <t>孙泽坤（受限终端，先基于prach测通路）</t>
  </si>
  <si>
    <t>msg1Power</t>
  </si>
  <si>
    <t>msg1接收功率单位dbm，始终按小区级统计上报</t>
  </si>
  <si>
    <t>puschCrcOKNum</t>
  </si>
  <si>
    <t>最近1s的pusch crc ok次数，在ueIndex为65535时上报小区的，否则按ueIndex上报</t>
  </si>
  <si>
    <t>puschCrcERRNum</t>
  </si>
  <si>
    <t>最近1s的pusch crc error次数，在ueIndex为65535时上报小区的，否则按ueIndex上报</t>
  </si>
  <si>
    <t>CSI</t>
  </si>
  <si>
    <t>csi抽样，在ueIndex为65535时上报当前最近一个ue的，否则按ueIndex上报</t>
  </si>
  <si>
    <t>pucchSnr</t>
  </si>
  <si>
    <t>pucch的snr单位db，在ueIndex为65535时上报当前最近一个ue的，否则按ueIndex上报</t>
  </si>
  <si>
    <t>pucchRsrp</t>
  </si>
  <si>
    <t>pucch的rsrp单位dbm，在ueIndex为65535时上报当前最近一个ue的，否则按ueIndex上报</t>
  </si>
  <si>
    <t>ulPrbRatio</t>
  </si>
  <si>
    <t>参数</t>
  </si>
  <si>
    <t>上行prb占用率（该周期内占用的总prb数除以可用的prb总数，不含pucch，prach），在ueIndex为65535时上报小区的，否则按ueIndex上报</t>
  </si>
  <si>
    <t>dlPrbRatio</t>
  </si>
  <si>
    <t>下行prb占用率，在ueIndex为65535时上报小区的，否则按ueIndex上报</t>
  </si>
  <si>
    <t>ulMcsAvg</t>
  </si>
  <si>
    <t>上行平均mcs，在ueIndex为65535时上报小区的，否则按ueIndex上报</t>
  </si>
  <si>
    <t>dlMcsAvg</t>
  </si>
  <si>
    <t>下行平均mcs，在ueIndex为65535时上报小区的，否则按ueIndex上报</t>
  </si>
  <si>
    <t>MACDlthr</t>
  </si>
  <si>
    <t>MAC下行吞吐量，单位10M，在ueIndex为65535时上报小区吞吐量，否则按ueIndex上报</t>
  </si>
  <si>
    <t>MACUlthr</t>
  </si>
  <si>
    <t>MAC上行吞吐量，单位10M，在ueIndex为65535时上报小区吞吐量，否则按ueIndex上报</t>
  </si>
  <si>
    <t>RLCDlthr</t>
  </si>
  <si>
    <t>RLC下行吞吐量，单位10M，在ueIndex为65535时上报小区吞吐量，否则按ueIndex上报</t>
  </si>
  <si>
    <t>RLCUlthr</t>
  </si>
  <si>
    <t>RLC上行吞吐量，单位10M，在ueIndex为65535时上报小区吞吐量，否则按ueIndex上报</t>
  </si>
  <si>
    <t>PDCPDlthr</t>
  </si>
  <si>
    <t>PDCP下行吞吐量，单位10M，在ueIndex为65535时上报小区吞吐量，否则按ueIndex上报</t>
  </si>
  <si>
    <t>PDCPUlthr</t>
  </si>
  <si>
    <t>PDCP上行吞吐量，单位10M，在ueIndex为65535时上报小区吞吐量，否则按ueIndex上报</t>
  </si>
  <si>
    <t>PL</t>
  </si>
  <si>
    <t>type=1502(ka),1552(sc)</t>
  </si>
  <si>
    <r>
      <rPr>
        <sz val="10"/>
        <color theme="1"/>
        <rFont val="黑体"/>
        <charset val="134"/>
      </rPr>
      <t>lengt</t>
    </r>
    <r>
      <rPr>
        <sz val="10"/>
        <rFont val="黑体"/>
        <charset val="134"/>
      </rPr>
      <t>h=31</t>
    </r>
    <r>
      <rPr>
        <sz val="10"/>
        <color theme="1"/>
        <rFont val="黑体"/>
        <charset val="134"/>
      </rPr>
      <t>字节</t>
    </r>
  </si>
  <si>
    <t>PL下行业务发包计数</t>
  </si>
  <si>
    <t>统计周期内，PL发送下行业务数据包计数</t>
  </si>
  <si>
    <t>PL波控信息发包计数</t>
  </si>
  <si>
    <t>统计周期内，PL发送波控信息数据包计数</t>
  </si>
  <si>
    <t>PL上行业务收包计数</t>
  </si>
  <si>
    <t>统计周期内，PL接收上行业务数据包计数</t>
  </si>
  <si>
    <t>PL接收MAC调度PDSCH信道消息计数</t>
  </si>
  <si>
    <t>统计周期内，PL接收MAC调度PDSCH信道消息计数</t>
  </si>
  <si>
    <t>PL接收MAC调度PDCCH信道消息计数</t>
  </si>
  <si>
    <t>统计周期内，PL接收MAC调度PDCCH信道消息计数</t>
  </si>
  <si>
    <t>PL接收MAC调度PUSCH信道消息计数</t>
  </si>
  <si>
    <t>统计周期内，PL接收MAC调度PUSCH信道消息计数</t>
  </si>
  <si>
    <t>PL接收MAC调度PUCCH信道消息计数</t>
  </si>
  <si>
    <t>统计周期内，PL接收MAC调度PUCCH信道消息计数</t>
  </si>
  <si>
    <t>PL处理SSB计数</t>
  </si>
  <si>
    <t>统计周期内，PL发送SSB次数</t>
  </si>
  <si>
    <t>PL处理CSI计数</t>
  </si>
  <si>
    <t>统计周期内，PL处理CSI计数</t>
  </si>
  <si>
    <t>PUSCH信道译码结果消息上报计数</t>
  </si>
  <si>
    <t>统计周期内，PL上报PUSCH信道译码消息上报计数</t>
  </si>
  <si>
    <t>PUSCH信道测量结果上报计数</t>
  </si>
  <si>
    <t>统计周期内，PL上报PUSCH信道测量结果上报计数</t>
  </si>
  <si>
    <t>PUCCH信道测量结果上报计数</t>
  </si>
  <si>
    <t>统计周期内，PL上报PUCCH信道测量结果上报计数</t>
  </si>
  <si>
    <t>SRS信道测量结果上报计数</t>
  </si>
  <si>
    <t>统计周期内，PL上报SRS信道测量结果上报计数</t>
  </si>
  <si>
    <t>PRACH信道TD_RSSI</t>
  </si>
  <si>
    <t>统计周期内，PRACH的最大时域RSSI，单位dBm。</t>
  </si>
  <si>
    <t>PRACH信道的FOE</t>
  </si>
  <si>
    <t>UE的PRACH信道的FOE，单位Hz。</t>
  </si>
  <si>
    <t>MAC调度指定UE的PUSCH信道消息计数</t>
  </si>
  <si>
    <t>统计周期内，MAC调度UE的PUSCH信道消息计数</t>
  </si>
  <si>
    <t>PUSCH信道FD_RSSI</t>
  </si>
  <si>
    <t>UE的PUSCH信道首符号的瞬时频域RSSI，单位dBm。</t>
  </si>
  <si>
    <t>PUSCH信道的SNR</t>
  </si>
  <si>
    <t>UE的PUSCH信道的瞬时SNR，单位dB。</t>
  </si>
  <si>
    <t>PUSCH信道的RSRP</t>
  </si>
  <si>
    <t>UE的PUSCH信道的瞬时RSRP，单位dBm。</t>
  </si>
  <si>
    <t>PUSCH信道的IRT</t>
  </si>
  <si>
    <t>UE的PUSCH信道的瞬时IRT，单位16Tc。</t>
  </si>
  <si>
    <t>PUSCH信道的FOE</t>
  </si>
  <si>
    <t>UE的PUSCH信道的瞬时FOE，单位Hz。</t>
  </si>
  <si>
    <t>PUSCH信道不过激活检测计数</t>
  </si>
  <si>
    <t>统计周期内，UE的PUSCH不过激活检测的次数</t>
  </si>
  <si>
    <t>PUSCH信道CRC正确计数</t>
  </si>
  <si>
    <t>统计周期内，UE的PUSCH信道CRC正确计数</t>
  </si>
  <si>
    <t>MAC调度指定UE的PUCCH信道消息计数</t>
  </si>
  <si>
    <t>统计周期内，MAC调度UE的PUCCH信道消息计数</t>
  </si>
  <si>
    <t>PUCCH信道Format01不过激活检测计数</t>
  </si>
  <si>
    <t>统计周期内，UE的PUCCH信道Format01不过激活检测的次数</t>
  </si>
  <si>
    <t>PUCCH信道Format234不过激活检测计数</t>
  </si>
  <si>
    <t>统计周期内，UE的PUCCH信道Format234不过激活检测的次数</t>
  </si>
  <si>
    <t xml:space="preserve">FPGA
</t>
  </si>
  <si>
    <r>
      <rPr>
        <sz val="10"/>
        <rFont val="黑体"/>
        <charset val="134"/>
      </rPr>
      <t>消息</t>
    </r>
    <r>
      <rPr>
        <sz val="10"/>
        <color theme="1"/>
        <rFont val="Calibri"/>
        <family val="2"/>
      </rPr>
      <t>ID</t>
    </r>
  </si>
  <si>
    <t>type=1705</t>
  </si>
  <si>
    <t>length=28字节</t>
  </si>
  <si>
    <t>PLP0波控入口数据计数</t>
  </si>
  <si>
    <r>
      <rPr>
        <sz val="10"/>
        <color rgb="FFFF0000"/>
        <rFont val="黑体"/>
        <charset val="134"/>
      </rPr>
      <t>0x1a0[31:24]</t>
    </r>
    <r>
      <rPr>
        <sz val="10"/>
        <rFont val="黑体"/>
        <charset val="134"/>
      </rPr>
      <t>,0x91c，槽位2是S波控，槽位3是Ka波控</t>
    </r>
  </si>
  <si>
    <t>PLP0波控出口数据计数</t>
  </si>
  <si>
    <r>
      <rPr>
        <sz val="10"/>
        <color rgb="FFFF0000"/>
        <rFont val="黑体"/>
        <charset val="134"/>
      </rPr>
      <t>0x1a0[23:16]</t>
    </r>
    <r>
      <rPr>
        <sz val="10"/>
        <rFont val="黑体"/>
        <charset val="134"/>
      </rPr>
      <t>,0x192b，槽位2是S波控，槽位3是Ka波控</t>
    </r>
  </si>
  <si>
    <t>ROE链路LINK状态</t>
  </si>
  <si>
    <t>0x1a0[15:14],
bit0:ROE0 ip核link标志，1为link
bit1:ROE1 ip核link标志，1为link</t>
  </si>
  <si>
    <t>宋志勇</t>
  </si>
  <si>
    <t>ROE链路反压状态</t>
  </si>
  <si>
    <t>0x1a0[13:8],
bit0:ROE0 ip核反压标志
bit1:ROE1 ip核反压标志
bit2:ROE0 AURORA反压标志（plp0）
bit3:ROE1 AURORA反压标志（plp0）
bit4:ROE0 AURORA反压标志（plp1）
bit5:ROE1 AURORA反压标志（plp1）</t>
  </si>
  <si>
    <t>plp0/plp1 Aurora链路状态</t>
  </si>
  <si>
    <r>
      <rPr>
        <sz val="11"/>
        <color rgb="FFFF0000"/>
        <rFont val="宋体"/>
        <charset val="134"/>
        <scheme val="minor"/>
      </rPr>
      <t>0x1a0[7:0]:</t>
    </r>
    <r>
      <rPr>
        <sz val="11"/>
        <rFont val="宋体"/>
        <charset val="134"/>
        <scheme val="minor"/>
      </rPr>
      <t>bit0-bit8对应8路底层link状态。槽位2是PLP0，槽位3是PLP1</t>
    </r>
  </si>
  <si>
    <t>ROE0 GT到协议层的发包计数</t>
  </si>
  <si>
    <r>
      <rPr>
        <sz val="11"/>
        <color rgb="FFFF0000"/>
        <rFont val="宋体"/>
        <charset val="134"/>
        <scheme val="minor"/>
      </rPr>
      <t>0x1a1[31:28]：</t>
    </r>
    <r>
      <rPr>
        <sz val="11"/>
        <rFont val="宋体"/>
        <charset val="134"/>
        <scheme val="minor"/>
      </rPr>
      <t>ip核发包计数(下行)，ROE0（SC波束）ip核与协议层间收发包计数</t>
    </r>
  </si>
  <si>
    <t>ROE0 GT到协议层的收包计数</t>
  </si>
  <si>
    <t>0x1a1[27:24]：ip核收包计数(上行)，ROE0（SC波束）ip核与协议层间收发包计数</t>
  </si>
  <si>
    <t>ROE0 协议层到业务的发包计数</t>
  </si>
  <si>
    <r>
      <rPr>
        <sz val="11"/>
        <color rgb="FFFF0000"/>
        <rFont val="宋体"/>
        <charset val="134"/>
        <scheme val="minor"/>
      </rPr>
      <t>0x1a1[23:20]：</t>
    </r>
    <r>
      <rPr>
        <sz val="11"/>
        <rFont val="宋体"/>
        <charset val="134"/>
        <scheme val="minor"/>
      </rPr>
      <t>协议层发包计数(下行)</t>
    </r>
  </si>
  <si>
    <t>ROE0 协议层到业务的收包计数</t>
  </si>
  <si>
    <t>0x1a1[19:16]：协议层收包计数(上行)</t>
  </si>
  <si>
    <t>ROE1 GT到协议层的发包计数</t>
  </si>
  <si>
    <r>
      <rPr>
        <sz val="11"/>
        <color rgb="FFFF0000"/>
        <rFont val="宋体"/>
        <charset val="134"/>
        <scheme val="minor"/>
      </rPr>
      <t>0x1a1[15:12]：</t>
    </r>
    <r>
      <rPr>
        <sz val="11"/>
        <rFont val="宋体"/>
        <charset val="134"/>
        <scheme val="minor"/>
      </rPr>
      <t>ip核发包计数(下行)</t>
    </r>
  </si>
  <si>
    <t>ROE1 GT到协议层的收包计数</t>
  </si>
  <si>
    <r>
      <rPr>
        <sz val="11"/>
        <color rgb="FFFF0000"/>
        <rFont val="宋体"/>
        <charset val="134"/>
        <scheme val="minor"/>
      </rPr>
      <t>0x1a1[11:8]：</t>
    </r>
    <r>
      <rPr>
        <sz val="11"/>
        <rFont val="宋体"/>
        <charset val="134"/>
        <scheme val="minor"/>
      </rPr>
      <t>ip核收包计数(上行)</t>
    </r>
  </si>
  <si>
    <t>ROE1 协议层到业务的发包计数</t>
  </si>
  <si>
    <r>
      <rPr>
        <sz val="11"/>
        <color rgb="FFFF0000"/>
        <rFont val="宋体"/>
        <charset val="134"/>
        <scheme val="minor"/>
      </rPr>
      <t>0x1a1[7:4]：</t>
    </r>
    <r>
      <rPr>
        <sz val="11"/>
        <rFont val="宋体"/>
        <charset val="134"/>
        <scheme val="minor"/>
      </rPr>
      <t>ip核发包计数(下行)</t>
    </r>
  </si>
  <si>
    <t>ROE1 协议层到业务的收包计数</t>
  </si>
  <si>
    <r>
      <rPr>
        <sz val="11"/>
        <color rgb="FFFF0000"/>
        <rFont val="宋体"/>
        <charset val="134"/>
        <scheme val="minor"/>
      </rPr>
      <t>0x1a1[3:0]：</t>
    </r>
    <r>
      <rPr>
        <sz val="11"/>
        <rFont val="宋体"/>
        <charset val="134"/>
        <scheme val="minor"/>
      </rPr>
      <t>ip核收包计数(上行)</t>
    </r>
  </si>
  <si>
    <t>下行Aurora底层发送至对齐模块包计数</t>
  </si>
  <si>
    <t xml:space="preserve">0x1a2[31:24]：Ka计数，S为0
</t>
  </si>
  <si>
    <t>上行Aurora底层发送至对齐模块包计数</t>
  </si>
  <si>
    <t xml:space="preserve">0x1a2[23:16]：Ka计数，S为0
</t>
  </si>
  <si>
    <t>下行业务发送包计数</t>
  </si>
  <si>
    <t>0x1a2[15:8]：下行业务发送包计数</t>
  </si>
  <si>
    <t>iic异常计数</t>
  </si>
  <si>
    <t>0x1a2[7:0]：2槽位：BBPS的I2C错误计数，3槽位BBPKa的I2C错误计数</t>
  </si>
  <si>
    <t>李健</t>
  </si>
  <si>
    <t>TOD计数</t>
  </si>
  <si>
    <r>
      <rPr>
        <sz val="10"/>
        <color rgb="FFFF0000"/>
        <rFont val="黑体"/>
        <charset val="134"/>
      </rPr>
      <t>0x1a3</t>
    </r>
    <r>
      <rPr>
        <sz val="10"/>
        <rFont val="黑体"/>
        <charset val="134"/>
      </rPr>
      <t>,寄存器编号:0X15B[15:0]&amp;0X8[15:0]</t>
    </r>
  </si>
  <si>
    <t>张晓迈</t>
  </si>
  <si>
    <t>帧头监测计数</t>
  </si>
  <si>
    <r>
      <rPr>
        <sz val="10"/>
        <color rgb="FFFF0000"/>
        <rFont val="黑体"/>
        <charset val="134"/>
      </rPr>
      <t>0x1a4</t>
    </r>
    <r>
      <rPr>
        <sz val="10"/>
        <rFont val="黑体"/>
        <charset val="134"/>
      </rPr>
      <t>.寄存器编号:0X13A</t>
    </r>
  </si>
  <si>
    <t>中断计数寄存器</t>
  </si>
  <si>
    <r>
      <rPr>
        <sz val="10"/>
        <color rgb="FFFF0000"/>
        <rFont val="黑体"/>
        <charset val="134"/>
      </rPr>
      <t>0x1a5</t>
    </r>
    <r>
      <rPr>
        <sz val="10"/>
        <rFont val="黑体"/>
        <charset val="134"/>
      </rPr>
      <t>,寄存器编号:0x158[31:28]&amp;0X13C[27:0]</t>
    </r>
  </si>
  <si>
    <t>PCIE_MM2S_status</t>
  </si>
  <si>
    <r>
      <rPr>
        <sz val="10"/>
        <color rgb="FFFF0000"/>
        <rFont val="黑体"/>
        <charset val="134"/>
      </rPr>
      <t>0x1a6[31:16]</t>
    </r>
    <r>
      <rPr>
        <sz val="10"/>
        <rFont val="黑体"/>
        <charset val="134"/>
      </rPr>
      <t>,0x703[11:0],0x702[19:16]</t>
    </r>
  </si>
  <si>
    <t>郭治博</t>
  </si>
  <si>
    <t>PCIE_S2MM_status</t>
  </si>
  <si>
    <r>
      <rPr>
        <sz val="10"/>
        <color rgb="FFFF0000"/>
        <rFont val="黑体"/>
        <charset val="134"/>
      </rPr>
      <t>0x1a6[15:0],</t>
    </r>
    <r>
      <rPr>
        <sz val="10"/>
        <rFont val="黑体"/>
        <charset val="134"/>
      </rPr>
      <t>0x702[15:0]</t>
    </r>
  </si>
  <si>
    <t>李建</t>
  </si>
  <si>
    <t>保留</t>
  </si>
  <si>
    <t>预留.注意：BMU上报遥测按固定位置解析</t>
  </si>
  <si>
    <t>消息ID（type=1051）</t>
  </si>
  <si>
    <t>type=1051</t>
  </si>
  <si>
    <t>length=18字节</t>
  </si>
  <si>
    <t>SS系统VCC_Y_SYS_CPU电压状态</t>
  </si>
  <si>
    <t>SC0系统DTB5100芯片供电VCC_Y_SYS_CPU_D0V75电压采样*2。
00：正常；01：过高；10：过低</t>
  </si>
  <si>
    <t>SS系统VCC_Y_CORE_CPU电压状态</t>
  </si>
  <si>
    <t>SC0系统DTB5100芯片供电VCC_Y_CORE_CPU_D0V75电压采样*2。
00：正常；01：过高；10：过低</t>
  </si>
  <si>
    <t>KA系统VCC_M_SYS_CPU电压状态</t>
  </si>
  <si>
    <t>KA0系统DTB5100芯片供电VCC_M_SYS_CPU_D0V75电压采样*2。
00：正常；01：过高；10：过低</t>
  </si>
  <si>
    <t>KA系统VCC_M_CORE_CPU电压状态</t>
  </si>
  <si>
    <t>KA0系统DTB5100芯片供电VCC_M_CORE_CPU_D0V75电压采样*2。
00：正常；01：过高；10：过低</t>
  </si>
  <si>
    <t>PLP0系统VCC_PL_INT电压状态</t>
  </si>
  <si>
    <t>PLP0系统VCC_PL_INT_D1V0电压采样*2。
00：正常；01：过高；10：过低</t>
  </si>
  <si>
    <t>PLP0系统VCC_PL_MGTAVTT电压状态</t>
  </si>
  <si>
    <t>PLP0系统VCC_PL_MGTAVTT_D1V2电压采样*2。
00：正常；01：过高；10：过低</t>
  </si>
  <si>
    <t>PLP0系统VCC_PL_MGTAVCC电压状态</t>
  </si>
  <si>
    <t>PLP0系统VCC_PL_MGTAVCC_D1V0电压采样*2。
00：正常；01：过高；10：过低</t>
  </si>
  <si>
    <t>PLP0系统VCC_PL_AUX_IO电压状态</t>
  </si>
  <si>
    <t>PLP0系统VCC_PL_AUX_IO_1V8电压采样*2。
00：正常；01：过高；10：过低</t>
  </si>
  <si>
    <t>CPU系统核压VCC_U_CPU_VDD电压状态</t>
  </si>
  <si>
    <t>S5000C-M系统核压VCC_U_CPU_VDD_D0V84电压采样*2。
00：正常；01：过高；10：过低</t>
  </si>
  <si>
    <t>CPU系统DDR4供电VCC_U_DDR_VDDQ电压状态</t>
  </si>
  <si>
    <t>S5000C-M系统DDR4供电VCC_U_DDR_VDDQ_D1V2电压采样*2。
00：正常；01：过高；10：过低</t>
  </si>
  <si>
    <t>CPU系统VCC_D0V9_CPU电压状态</t>
  </si>
  <si>
    <t>S5000C-M系统VCC_D0V9_CPU电压采样*2。
00：正常；01：过高；10：过低</t>
  </si>
  <si>
    <t>CPU系统供电VCC_D1V8C_CPU电压状态</t>
  </si>
  <si>
    <t>S5000C-M系统供电VCC_D1V8C_CPU电压采样*2。
00：正常；01：过高；10：过低</t>
  </si>
  <si>
    <t>SSD1供电VCC_SSD1电压状态</t>
  </si>
  <si>
    <t>SSD1供电VCC_SSD1_D0V9电压采样*2。
00：正常；01：过高；10：过低</t>
  </si>
  <si>
    <t>SSD0供电VCC_SSD0电压状态</t>
  </si>
  <si>
    <t>SSD0供电VCC_SSD0_D0V9电压采样*2。
00：正常；01：过高；10：过低</t>
  </si>
  <si>
    <t>芯片核压供电VCC_BBP_CORE_0V8_A电压状态</t>
  </si>
  <si>
    <t>UCP4008芯片核压供电VCC_UCP_CORE_0V8_A电压采样*2。
00：正常；01：过高；10：过低</t>
  </si>
  <si>
    <t>PLP1核压VCC_PL_INT电压状态</t>
  </si>
  <si>
    <t>PLP1 核压VCC_PL_INT_D1V0电压检测*2。
00：正常；01：过高；10：过低</t>
  </si>
  <si>
    <t>PLP1 VCC_PL_MGTAVTT电压状态</t>
  </si>
  <si>
    <t>PLP1 VCC_PL_MGTAVTT_D1V2电压采样*2。
00：正常；01：过高；10：过低</t>
  </si>
  <si>
    <t>PLP1 VCC_PL_MGTAVCC电压状态</t>
  </si>
  <si>
    <t>PLP1 VCC_PL_MGTAVCC_D1V0电压采样*2。
00：正常；01：过高；10：过低</t>
  </si>
  <si>
    <t>SSD硬盘状态指示</t>
  </si>
  <si>
    <t>[0]:SSD1,为0表示下电，为1表示上电
[1]:SSD2,为0表示下电，为1表示上电</t>
  </si>
  <si>
    <t>PLP0单粒子中断指示</t>
  </si>
  <si>
    <t>[0]：FAR寄存器读写异常
[1]：STATE寄存器状态异常
[2]：刷新过程DONE/INIT_B信号异常
[3]：刷新过程发生CRC_ERROR/ECC_ERROR</t>
  </si>
  <si>
    <t>PLP1单粒子中断指示</t>
  </si>
  <si>
    <t>[0]：FAR寄存器读写异常
[1]：STATE寄存器状态异常
[2]：刷新过程DONE/INIT_B信号异常
[4]：刷新过程发生CRC_ERROR/ECC_ERROR</t>
  </si>
  <si>
    <t xml:space="preserve">PLP0 STATE寄存器监控 </t>
  </si>
  <si>
    <t>[7:0]：STATE寄存器监控（监控bit[7:0]）
[7]：GHIGH_B的状态(0为GHIGH_B被激活，1为GHIGH_B被释放)
[6]：GWE的状态(0为FFs和BRAM处于写保护状态，1为FFs和BRAM可进行写入操作)
[5]：GTS_CFG_B的状态(0为所用用户的I/Os均处于高阻态，1为所有I/Os行为可配置)
[4]：启动块发出的启动信号(0为启动序列尚未完成，1为启动序列已完成)
[3]：0为DCI未匹配成功，1为DCI已匹配成功
[2]：0为MMCMs未被锁定，1为MMCMs已被锁定
[1]：0为解密器未设置，1为解密器已设置
[0]：0为No CRC ERROR，1为CRC ERROR</t>
  </si>
  <si>
    <t xml:space="preserve">PLP1 STATE寄存器监控 </t>
  </si>
  <si>
    <t>版本加载Flash选通指示</t>
  </si>
  <si>
    <t>[7:6]：SCP；
[5:4]：BBPS；
[3:2]：BBPKa；
[1:1]：PLP1；
[0:0]：PLP0；
备注：2'b00表示主FLash0， 2'b01表示备Flash1，2'b10表示备Flash2；</t>
  </si>
  <si>
    <t xml:space="preserve">三模校验可校正次数 </t>
  </si>
  <si>
    <t>[23:20]:预留
[19:15]:PLP1可校正次数；
[15:12]:PLP0可校正次数；
[11:8]:BBPKA可校正次数；
[7:4]:BBPS可校正次数；
[3:0]:SCP可校正次数；
备注：当纠正错误大于15，置为F</t>
  </si>
  <si>
    <t xml:space="preserve">不可恢复校验组指示 </t>
  </si>
  <si>
    <t>[31:29]:预留；
[28:28]:PLP0不可校正指示；
[27:27]:PLP1不可校正指示；
[26:26]:BBPKA不可校正指示；
[25:25]:BBPS不可校正指示；
[24:24]:SCP不可校正指示；</t>
  </si>
  <si>
    <t xml:space="preserve">三模当前状态指示 </t>
  </si>
  <si>
    <t>[23:20]:预留，填0
[19:18]:FLASH序号指示（2'b00:Flash0;2'b01:Flash1;2'b10:Flash2）；
[17:16]:预留，填0
[15:12]:器件指示，槽位号（如：0x0:SCP;0x2:BBPS;0x3:BBPKA;0x5:PLP0;0x7:PLP1）；
[11:0]:Block指示，取值范围0~2047；</t>
  </si>
  <si>
    <t>JTAG状态指示</t>
  </si>
  <si>
    <t>FF-无操作
FA-JTAG执行过程中
其他值-操作执行返回值</t>
  </si>
  <si>
    <t>PLP0</t>
  </si>
  <si>
    <r>
      <rPr>
        <sz val="10"/>
        <rFont val="黑体"/>
        <charset val="134"/>
      </rPr>
      <t>消息</t>
    </r>
    <r>
      <rPr>
        <sz val="10"/>
        <color theme="1"/>
        <rFont val="黑体"/>
        <charset val="134"/>
      </rPr>
      <t>ID（type=1700）</t>
    </r>
  </si>
  <si>
    <t>type=1700</t>
  </si>
  <si>
    <t>length=105字节</t>
  </si>
  <si>
    <t>卡槽5</t>
  </si>
  <si>
    <t>接收GTPU业务报文计数</t>
  </si>
  <si>
    <t>GNB GTPU FLOW输出的GTPU业务报文计数</t>
  </si>
  <si>
    <t>杨博</t>
  </si>
  <si>
    <t>SGNB接收OM报文计数</t>
  </si>
  <si>
    <t>GNB GTPU FLOW输出的OM管控报文计数</t>
  </si>
  <si>
    <t>下行GTPU匹配失败计数</t>
  </si>
  <si>
    <t>GNB GTPU FLOW输出的GTPU FLOW匹配失败计数</t>
  </si>
  <si>
    <t>BMU到交换口的计数值</t>
  </si>
  <si>
    <t>交换口到BMU的计数值</t>
  </si>
  <si>
    <t>SCP 进交换的计数值</t>
  </si>
  <si>
    <t>去往SCP控制口的包计数</t>
  </si>
  <si>
    <t>去往SCP业务口的包计数</t>
  </si>
  <si>
    <t>BBPS_10GE_0口到交换口的计数值</t>
  </si>
  <si>
    <t>交换口到BBPS_10GE_0口的计数值</t>
  </si>
  <si>
    <t>BBPS_10GE_1口到交换口的计数值</t>
  </si>
  <si>
    <t>交换口到BBPS_10GE_1口的计数值</t>
  </si>
  <si>
    <t>BBPS_10GE_2口到交换口的计数值</t>
  </si>
  <si>
    <t>交换口到BBPS_10GE_2口的计数值</t>
  </si>
  <si>
    <t>BBPS_10GE_3口到交换口的计数值</t>
  </si>
  <si>
    <t>交换口到BBPS_10GE_3口的计数值</t>
  </si>
  <si>
    <t>BBPKa_10GE_0口到交换口的计数值</t>
  </si>
  <si>
    <t>交换口到BBPKa_10GE_0口的计数值</t>
  </si>
  <si>
    <t>BBPKa_10GE_1口到交换口的计数值</t>
  </si>
  <si>
    <t>交换口到BBPKa_10GE_1口的计数值</t>
  </si>
  <si>
    <t>BBPKa_10GE_2口到交换口的计数值</t>
  </si>
  <si>
    <t>交换口到BBPKa_10GE_2口的计数值</t>
  </si>
  <si>
    <t>BBPKa_10GE_3口到交换口的计数值</t>
  </si>
  <si>
    <t>交换口到BBPKa_10GE_3口的计数值</t>
  </si>
  <si>
    <t>GNB口进交换出现反压</t>
  </si>
  <si>
    <t>GNB口进交换的fresz值</t>
  </si>
  <si>
    <t>SCP进交换出现反压</t>
  </si>
  <si>
    <t>SCP进交换的fresz值</t>
  </si>
  <si>
    <t>去往SCP控制口出现反压</t>
  </si>
  <si>
    <t>去往SCP控制口的fresz值</t>
  </si>
  <si>
    <t>去往SCP业务口出现反压</t>
  </si>
  <si>
    <t>去往SCP业务口的fresz值</t>
  </si>
  <si>
    <r>
      <rPr>
        <sz val="10"/>
        <rFont val="黑体"/>
        <charset val="134"/>
      </rPr>
      <t>BBPS</t>
    </r>
    <r>
      <rPr>
        <sz val="11"/>
        <color theme="1"/>
        <rFont val="黑体"/>
        <charset val="134"/>
      </rPr>
      <t>_10GE_0以太帧同步到交换出现反压</t>
    </r>
  </si>
  <si>
    <t>来自BBP S0控制口以太帧同步因交换反压导致的丢包计数</t>
  </si>
  <si>
    <r>
      <rPr>
        <sz val="10"/>
        <rFont val="黑体"/>
        <charset val="134"/>
      </rPr>
      <t>BBPS_10GE_</t>
    </r>
    <r>
      <rPr>
        <sz val="11"/>
        <color theme="1"/>
        <rFont val="黑体"/>
        <charset val="134"/>
      </rPr>
      <t>1以太帧同步到交换出现反压</t>
    </r>
  </si>
  <si>
    <t>来自BBP S1业务口以太帧同步因交换反压导致的丢包计数</t>
  </si>
  <si>
    <r>
      <rPr>
        <sz val="10"/>
        <rFont val="黑体"/>
        <charset val="134"/>
      </rPr>
      <t>BBPS_10GE_</t>
    </r>
    <r>
      <rPr>
        <sz val="11"/>
        <color theme="1"/>
        <rFont val="黑体"/>
        <charset val="134"/>
      </rPr>
      <t>2以太帧同步到交换出现反压</t>
    </r>
  </si>
  <si>
    <t>来自BBP S2业务口以太帧同步因交换反压导致的丢包计数</t>
  </si>
  <si>
    <r>
      <rPr>
        <sz val="10"/>
        <rFont val="黑体"/>
        <charset val="134"/>
      </rPr>
      <t>BBPS_10GE_</t>
    </r>
    <r>
      <rPr>
        <sz val="11"/>
        <color theme="1"/>
        <rFont val="黑体"/>
        <charset val="134"/>
      </rPr>
      <t>3以太帧同步到交换出现反压</t>
    </r>
  </si>
  <si>
    <t>来自BBP S3业务口以太帧同步因交换反压导致的丢包计数</t>
  </si>
  <si>
    <r>
      <rPr>
        <sz val="10"/>
        <rFont val="黑体"/>
        <charset val="134"/>
      </rPr>
      <t>BBPKa_10GE_</t>
    </r>
    <r>
      <rPr>
        <sz val="11"/>
        <color theme="1"/>
        <rFont val="黑体"/>
        <charset val="134"/>
      </rPr>
      <t>0以太帧同步到交换出现反压</t>
    </r>
  </si>
  <si>
    <t>来自BBP KA0控制口以太帧同步因交换反压导致的丢包计数</t>
  </si>
  <si>
    <r>
      <rPr>
        <sz val="10"/>
        <rFont val="黑体"/>
        <charset val="134"/>
      </rPr>
      <t>BBPKa_10GE_1</t>
    </r>
    <r>
      <rPr>
        <sz val="11"/>
        <color theme="1"/>
        <rFont val="黑体"/>
        <charset val="134"/>
      </rPr>
      <t>以太帧同步到交换出现反压</t>
    </r>
  </si>
  <si>
    <t>来自BBP KA1业务口以太帧同步因交换反压导致的丢包计数</t>
  </si>
  <si>
    <r>
      <rPr>
        <sz val="10"/>
        <rFont val="黑体"/>
        <charset val="134"/>
      </rPr>
      <t>BBPKa_10GE_2</t>
    </r>
    <r>
      <rPr>
        <sz val="11"/>
        <color theme="1"/>
        <rFont val="黑体"/>
        <charset val="134"/>
      </rPr>
      <t>以太帧同步到交换出现反压</t>
    </r>
  </si>
  <si>
    <t>来自BBP KA2业务口以太帧同步因交换反压导致的丢包计数</t>
  </si>
  <si>
    <r>
      <rPr>
        <sz val="10"/>
        <rFont val="黑体"/>
        <charset val="134"/>
      </rPr>
      <t>BBPKa_10GE_3</t>
    </r>
    <r>
      <rPr>
        <sz val="11"/>
        <color theme="1"/>
        <rFont val="黑体"/>
        <charset val="134"/>
      </rPr>
      <t>以太帧同步到交换出现反压</t>
    </r>
  </si>
  <si>
    <t>来自BBP KA3业务口以太帧同步因交换反压导致的丢包计数</t>
  </si>
  <si>
    <t>BMU以太帧到交换出现反压</t>
  </si>
  <si>
    <t>来自BMU以太帧同步因交换反压导致的丢包计数</t>
  </si>
  <si>
    <t>pcie linkdown计数</t>
  </si>
  <si>
    <t>去往BBP_S的rdy值</t>
  </si>
  <si>
    <t>f</t>
  </si>
  <si>
    <t>去往BBP_KA的rdy值</t>
  </si>
  <si>
    <r>
      <rPr>
        <sz val="10"/>
        <rFont val="黑体"/>
        <charset val="134"/>
      </rPr>
      <t>P</t>
    </r>
    <r>
      <rPr>
        <sz val="11"/>
        <color theme="1"/>
        <rFont val="黑体"/>
        <charset val="134"/>
      </rPr>
      <t>LP0与SROUTER(main)间link状态</t>
    </r>
  </si>
  <si>
    <t>PLP0与SROUTER(back)间link状态</t>
  </si>
  <si>
    <t>PLP0与BBP_S0间link状态</t>
  </si>
  <si>
    <t>PLP0与BBP_S1间link状态</t>
  </si>
  <si>
    <t>PLP0与BBP_S2间link状态</t>
  </si>
  <si>
    <t>PLP0与BBP_S3间link状态</t>
  </si>
  <si>
    <t>PLP0与BBP_KA0间link状态</t>
  </si>
  <si>
    <t>PLP0与BBP_KA1间link状态</t>
  </si>
  <si>
    <t>PLP0与BBP_KA2间link状态</t>
  </si>
  <si>
    <t>PLP0与BBP_KA3间link状态</t>
  </si>
  <si>
    <t>slave0-3到交换的错误计数</t>
  </si>
  <si>
    <t>交换规则无效丢包计数、帧长不匹配错误计数、交换域违规丢包计数总和</t>
  </si>
  <si>
    <t>slave4-7到交换的错误计数</t>
  </si>
  <si>
    <t>slave8-11到交换的错误计数</t>
  </si>
  <si>
    <t>slave12-15到交换的错误计数</t>
  </si>
  <si>
    <t xml:space="preserve">eth_dma_push模块中发出推数拉描述符请求以后pcie回包非2199的包计数    </t>
  </si>
  <si>
    <t>CPUA侧ETH_DMA的eth_dma_push模块中发出推数拉描述符请求以后pcie回包非2199的包计数[7:4]</t>
  </si>
  <si>
    <t>eth推包因为端口使能为低而丢包计数</t>
  </si>
  <si>
    <t xml:space="preserve">CPUA的eth推包因为端口使能为低而丢包计数[3:0] </t>
  </si>
  <si>
    <t>eth_pull模块的push状态机</t>
  </si>
  <si>
    <t>CPUA侧eth_dma的eth_pull模块的push状态机</t>
  </si>
  <si>
    <t>eth_pull模块的拉描述符状态机</t>
  </si>
  <si>
    <t>CPUA侧eth_dma的eth_pull模块的拉描述符状态机</t>
  </si>
  <si>
    <t>eth_pull模块的拉数据状态机</t>
  </si>
  <si>
    <t>CPUA侧eth_dma的eth_pull模块的拉数据状态机</t>
  </si>
  <si>
    <t>eth_push模块的pull拉描述符状态机</t>
  </si>
  <si>
    <t>CPUA侧eth_dma的eth_push模块的pull拉描述符状态机</t>
  </si>
  <si>
    <t>eth_push模块的push推数据包和包填满标志的状态机</t>
  </si>
  <si>
    <t>CPUA侧eth_dma的eth_push模块的push推数据包和包填满标志的状态机</t>
  </si>
  <si>
    <t>拉数仲裁中发给pcie的拉数info请求握手成功计数；</t>
  </si>
  <si>
    <t>CPUA拉数仲裁中发给pcie的拉数info请求握手成功的计数[7:4]；</t>
  </si>
  <si>
    <t>拉数仲裁中pcie返回的拉数info请求响应包计数;</t>
  </si>
  <si>
    <t>CPUA拉数仲裁中pcie返回的拉数info请求响应每一包数据计数[3:0];</t>
  </si>
  <si>
    <t>推数仲裁模块中发给pcie模块的推数请求Info与pcie握手成功的计数</t>
  </si>
  <si>
    <t>CPUA推数仲裁模块中发给pcie模块的推数请求Info与pcie握手成功的计数[7:4]；</t>
  </si>
  <si>
    <t>推数仲裁模块收到的pcie发过来的读数据的地址包计数</t>
  </si>
  <si>
    <t>CPUA推数仲裁模块收到的pcie发过来的读数据的地址每一包计数[3:0];</t>
  </si>
  <si>
    <t>CPUA的PHY_DMA的C0通道拉描述符info信息与pcie握手成功计数</t>
  </si>
  <si>
    <t>CPUA的PHY_DMA的C0通道拉描述符info信息与pcie握手成功计数[7:4]；</t>
  </si>
  <si>
    <t>CPUA的PHY_DMA的C0通道拉描述符回包响应计数</t>
  </si>
  <si>
    <t xml:space="preserve">
CPUA的PHY_DMA的C0通道拉描述符回包响应计数[3:0]；</t>
  </si>
  <si>
    <t>PHY_DMA的C0通道拉数据info信息与pcie握手成功计数</t>
  </si>
  <si>
    <t>CPUA的PHY_DMA的C0通道拉数据info信息与pcie握手成功计数[7:4]；</t>
  </si>
  <si>
    <t>PHY_DMA的C0通道拉数据回包响应计数</t>
  </si>
  <si>
    <t>CPUA的PHY_DMA的C0通道拉数据回包响应计数[3:0]；</t>
  </si>
  <si>
    <t>ETH_DMA的eth_dma_pull模块中拉描述符请求发出与pcie握手成功计数</t>
  </si>
  <si>
    <t>CPUA的ETH_DMA的eth_dma_pull模块中拉描述符请求发出与pcie握手成功计数[7:4]</t>
  </si>
  <si>
    <t>ETH_DMA的eth_dma_pull模块中拉描述符请求发出后pcie响应描述符回包计数</t>
  </si>
  <si>
    <t>CPUA的ETH_DMA的eth_dma_pull模块中拉描述符请求发出后pcie响应描述符回包计数[3:0]</t>
  </si>
  <si>
    <t>ETH_DMA的eth_dma_pull模块中拉数据的info请求发出后与pcie握手成功计数</t>
  </si>
  <si>
    <t>CPUA的ETH_DMA的eth_dma_pull模块中拉数据的info请求发出后与pcie握手成功计数[7:4]</t>
  </si>
  <si>
    <t>ETH_DMA的eth_dma_pull模块中拉下来的数据包计数</t>
  </si>
  <si>
    <t>CPUA的ETH_DMA的eth_dma_pull模块中拉下来的数据包计数[3:0]</t>
  </si>
  <si>
    <t>ETH_DMA的eth_dma_push模块中推数据的拉描述符的info请求发出后与pcie握手成功计数</t>
  </si>
  <si>
    <t>CPUA的ETH_DMA的eth_dma_push模块中推数据的拉描述符的info请求发出后与pcie握手成功计数[7:4]</t>
  </si>
  <si>
    <t>ETH_DMA的eth_dma_push模块中发出推数拉描述符请求以后pcie回包的包计数</t>
  </si>
  <si>
    <t>CPUA的 ETH_DMA的eth_dma_push模块中发出推数拉描述符请求以后pcie回包的包计数[3:0]</t>
  </si>
  <si>
    <r>
      <rPr>
        <sz val="10.5"/>
        <color theme="1"/>
        <rFont val="宋体"/>
        <charset val="134"/>
      </rPr>
      <t>下发的以太</t>
    </r>
    <r>
      <rPr>
        <sz val="10.5"/>
        <color theme="1"/>
        <rFont val="Calibri"/>
        <family val="2"/>
      </rPr>
      <t>trigger</t>
    </r>
    <r>
      <rPr>
        <sz val="10.5"/>
        <color theme="1"/>
        <rFont val="宋体"/>
        <charset val="134"/>
      </rPr>
      <t>计数</t>
    </r>
  </si>
  <si>
    <r>
      <rPr>
        <sz val="10.5"/>
        <color theme="1"/>
        <rFont val="Calibri"/>
        <family val="2"/>
      </rPr>
      <t>CPUA</t>
    </r>
    <r>
      <rPr>
        <sz val="10.5"/>
        <color theme="1"/>
        <rFont val="宋体"/>
        <charset val="134"/>
      </rPr>
      <t>侧下发的以太</t>
    </r>
    <r>
      <rPr>
        <sz val="10.5"/>
        <color theme="1"/>
        <rFont val="Calibri"/>
        <family val="2"/>
      </rPr>
      <t>trigger</t>
    </r>
    <r>
      <rPr>
        <sz val="10.5"/>
        <color theme="1"/>
        <rFont val="宋体"/>
        <charset val="134"/>
      </rPr>
      <t>计数</t>
    </r>
    <r>
      <rPr>
        <sz val="10.5"/>
        <color theme="1"/>
        <rFont val="Calibri"/>
        <family val="2"/>
      </rPr>
      <t>[7:4]</t>
    </r>
  </si>
  <si>
    <t>下发的OM网管trigger计数</t>
  </si>
  <si>
    <t>CPUA侧下发的OM网管 trigger计数[3:0]</t>
  </si>
  <si>
    <t>eth_dma的eth_pull模块拉错误描述符(215a)计数</t>
  </si>
  <si>
    <t>CPUA侧eth_dma的eth_pull模块拉错误描述符(215a)计数[7:4]</t>
  </si>
  <si>
    <t>eth_dma的eth_pull模块推错误描述符(非2166)计数</t>
  </si>
  <si>
    <t>CPUA侧eth_dma的eth_pull模块推错误描述符(非2166)计数[3:0]</t>
  </si>
  <si>
    <t>CPUA侧拉数仲裁状态机</t>
  </si>
  <si>
    <t>CPUA侧推数仲裁状态机</t>
  </si>
  <si>
    <t>pcie link状态</t>
  </si>
  <si>
    <t>S5000C系统启动步骤</t>
  </si>
  <si>
    <t>DD写到plp0寄存器0x600的bit[15:0]，PLP拉到寄存器0x1a0[31:16]</t>
  </si>
  <si>
    <t>BBPS系统启动步骤</t>
  </si>
  <si>
    <t>DD写到plp0寄存器0x600的bit[15:0]，PLP拉到寄存器0x1a0[15:0]</t>
  </si>
  <si>
    <t>BBPKa系统启动步骤</t>
  </si>
  <si>
    <t>DD写到plp0寄存器0x600的bit[15:0]，PLP拉到寄存器0x1a1[31:16]</t>
  </si>
  <si>
    <t>S5000C发送BD READY计数</t>
  </si>
  <si>
    <t>DD写到plp0 rw寄存器0x607的bit[31:16]，PLP0拉到寄存器0x1a1[15:8]，仅拉低8bit</t>
  </si>
  <si>
    <t>S5000C接收BD READY计数</t>
  </si>
  <si>
    <t>DD写到plp0 rw寄存器0x607的bit[15:0],PLP0拉到0x1a1寄存器bit[7:0]，仅拉低8bit</t>
  </si>
  <si>
    <t>OM IP地址1（OM IP1的最后4字节）</t>
  </si>
  <si>
    <t>DD写到plp0寄存器0x603的bit[31:0]，PLP0拉到0x1a2寄存器bit[31:0]</t>
  </si>
  <si>
    <t>OM IP地址2（OM IP2的最后4字节）</t>
  </si>
  <si>
    <t>DD写到plp0寄存器0x604的bit[31:0]，PLP0拉到0x1a3寄存器bit[31:0]</t>
  </si>
  <si>
    <t>OM IP对1</t>
  </si>
  <si>
    <t>DD写到plp0寄存器0x605的bit[31:16]，PLP0拉到0x1a4寄存器bit[31:16]</t>
  </si>
  <si>
    <t>OM IP对2</t>
  </si>
  <si>
    <t>DD写到plp0寄存器0x605的bit[15:0]，PLP0拉到0x1a4寄存器bit[15:0]</t>
  </si>
  <si>
    <t>OM IP对3</t>
  </si>
  <si>
    <t>DD写到plp0寄存器0x606的bit[31:16]，PLP0拉到0x1a5寄存器bit[31:16]</t>
  </si>
  <si>
    <t>OM IP对4</t>
  </si>
  <si>
    <t>DD写到plp0寄存器0x606的bit[15:0]，PLP0拉到0x1a5寄存器bit[15:0]</t>
  </si>
  <si>
    <t>网关IP的MAC表项状态1</t>
  </si>
  <si>
    <t>DD写到plp0寄存器0x60C寄存器bit[31:16]，PLP0拉到0x1a6寄存器bit[31:16]</t>
  </si>
  <si>
    <t>网关IP的MAC表项状态2</t>
  </si>
  <si>
    <t>DD写到plp0寄存器0x60C寄存器bit[15:0]，PLP0拉到0x1a6寄存器bit[15:0]</t>
  </si>
  <si>
    <t>网关IP的MAC表项状态3</t>
  </si>
  <si>
    <t>DD写到plp0寄存器0x60D寄存器bit[31:16]，PLP0拉到0x1a7寄存器bit[31:16]</t>
  </si>
  <si>
    <t>DD写到plp0寄存器0x60D寄存器bit[15:0]，PLP0拉到0x1a7寄存器bit[15:0]</t>
  </si>
  <si>
    <t>NP ROUTE FLOW的A端点接收计数</t>
  </si>
  <si>
    <t>DD写到plp0寄存器0x601的bit[31:0]；PLP0拉到0x1a8寄存器bit[31:24]，仅拉最低8bit</t>
  </si>
  <si>
    <t>NP ROUTE FLOW的A端点发送计数</t>
  </si>
  <si>
    <t>DD写到plp0 0x602寄存器bit[31:0]，PLP0拉到0x1a8寄存器bit[23:16]，仅拉最低8bit</t>
  </si>
  <si>
    <t>SCP内核数据接收计数</t>
  </si>
  <si>
    <t>DD写到plp0 0x60B寄存器bit[15:8]，PLP0拉到0x1a8寄存器bit[15:8]</t>
  </si>
  <si>
    <t>SCP内核数据发送计数</t>
  </si>
  <si>
    <t>DD写到plp0 0x60B寄存器bit[7:0]，PLP0拉到0x1a8寄存器bit[7:0]</t>
  </si>
  <si>
    <t>BBPS内核数据接收计数</t>
  </si>
  <si>
    <t>DD写到plp0 0x60B寄存器bit[15:8]，PLP0拉到0x1a9寄存器bit[31:24]</t>
  </si>
  <si>
    <t>BBPS内核数据发送计数</t>
  </si>
  <si>
    <t>DD写到plp0 0x60B寄存器bit[7:0]，PLP0拉到0x1a9寄存器bit[23:16]</t>
  </si>
  <si>
    <t>BBPKa内核数据接收计数</t>
  </si>
  <si>
    <t>DD写到plp0 0x60B寄存器bit[15:8]，PLP0拉到0x1a9寄存器bit[15:8]</t>
  </si>
  <si>
    <t>BBPKa内核数据发送计数</t>
  </si>
  <si>
    <t>DD写到plp0 0x60B寄存器bit[7:0]，PLP0拉到0x1a9寄存器bit[7:0]</t>
  </si>
  <si>
    <t>pp1s计数 （CPU收到计数）</t>
  </si>
  <si>
    <t>DD SCP、BBPS、BBPKa都写到0x608寄存器bit[31:24]，但遥测只拉SC,PLP0拉到0x1a9[31:24]</t>
  </si>
  <si>
    <t>半帧中断计数</t>
  </si>
  <si>
    <t>DD SCP、BBPS、BBPKa都写到0x608寄存器bit[23:16]，但遥测只拉SC,PLP0拉到0x1a9[23:16]</t>
  </si>
  <si>
    <t>时隙中断计数</t>
  </si>
  <si>
    <t>DD SCP、BBPS、BBPKa都都写到0x608寄存器bit[15:8]，但遥测只拉SCP,PLP0拉到0x1a9[15:8]</t>
  </si>
  <si>
    <t>丢pp1s计数</t>
  </si>
  <si>
    <t>DD SCP、BBPS、BBPKa都都写到0x608寄存器bit[7:0]，但遥测只拉SCP,PLP0拉到0x1a9[7:0]</t>
  </si>
  <si>
    <t>半帧跳变计数</t>
  </si>
  <si>
    <t>DD SCP、BBPS、BBPKa都写到0x609寄存器bit[31:24]，但遥测只拉SCP,PLP0拉到0x1a9[31:24]</t>
  </si>
  <si>
    <t>软半帧校准次数</t>
  </si>
  <si>
    <t>DD SCP、BBPS、BBPKa都都写到0x609寄存器bit[23:16]，但遥测只拉SCP bit[23:16],PLP0拉到0x1a9[23:16]</t>
  </si>
  <si>
    <t>TOD跳变计数</t>
  </si>
  <si>
    <t>DD SCP、BBPS、BBPKa都都写到0x609寄存器bit[15:8]，但遥测只拉SCP,PLP0拉到0x1a9[15:8]</t>
  </si>
  <si>
    <t>BTS错误计数（KA）</t>
  </si>
  <si>
    <t>DD SCP（0）、BBPS、BBPKa都都写到0x609寄存器bit[7:0]，但遥测只拉BBPKa，PLP0拉到0x1a9寄存器bit[7:0]</t>
  </si>
  <si>
    <t>BMU</t>
  </si>
  <si>
    <t>BMU消息ID(t=1050)</t>
  </si>
  <si>
    <t>姜钦航</t>
  </si>
  <si>
    <t>BMU消息长度</t>
  </si>
  <si>
    <t>BMU消息长度（length=34）</t>
  </si>
  <si>
    <t>BMU主备标志</t>
  </si>
  <si>
    <t>0:6槽位BMU；1:14槽位BMU</t>
  </si>
  <si>
    <t>对端BMU工作状态标识</t>
  </si>
  <si>
    <t>对端BMU正常工作标志,1:异常,0:正常</t>
  </si>
  <si>
    <t>BMU枚举FLASH的状态</t>
  </si>
  <si>
    <t>BMU枚举FLASH的状态,1：枚举完成,0：枚举中</t>
  </si>
  <si>
    <t>ETH PHY状态</t>
  </si>
  <si>
    <t>g_phy_sta，phy的状态</t>
  </si>
  <si>
    <t>Flash擦除状态机状态</t>
  </si>
  <si>
    <t>FLASH擦除状态机的状态</t>
  </si>
  <si>
    <t>FLASH的QE状态</t>
  </si>
  <si>
    <t>每一位代表一个FLASH的QE状态</t>
  </si>
  <si>
    <t>CONFIG DONE状态</t>
  </si>
  <si>
    <t>PL 109寄存器，CONFIG DOWN寄存器，只取8bit（CPU、SOC、FPGA）</t>
  </si>
  <si>
    <t>FLASH的BITMAP配置</t>
  </si>
  <si>
    <t>PL 302， FLASH bitmap</t>
  </si>
  <si>
    <t>BMU PL主备配置</t>
  </si>
  <si>
    <t>PL 305，主备切换寄存器</t>
  </si>
  <si>
    <t>带外重构的方式</t>
  </si>
  <si>
    <t>当前是UDP重构/422重构：00-没有重构；11-422重构；22-UDP</t>
  </si>
  <si>
    <t>重构的文件子类型</t>
  </si>
  <si>
    <t>重构文件大小</t>
  </si>
  <si>
    <t>文件传输模式</t>
  </si>
  <si>
    <t>文件传输型指令的状态：0 - 透传CPU，1 - MSS处理</t>
  </si>
  <si>
    <t>重构透传模式</t>
  </si>
  <si>
    <t>当前重构的段号</t>
  </si>
  <si>
    <t>当前重构的帧号</t>
  </si>
  <si>
    <t>当前重构的FLASH地址</t>
  </si>
  <si>
    <t>BMU版本号</t>
  </si>
  <si>
    <t>MSS MAC控制器接收包计数</t>
  </si>
  <si>
    <t>MSS MAC控制器接收丢包计数</t>
  </si>
  <si>
    <t>MSS MAC控制器发送包计数</t>
  </si>
  <si>
    <t>MSS MAC控制器发送丢包计数</t>
  </si>
  <si>
    <t>MSS ETH驱动接收包计数</t>
  </si>
  <si>
    <t>MSS ETH驱动接收丢包计数</t>
  </si>
  <si>
    <t>MSS ETH驱动发送包计数</t>
  </si>
  <si>
    <t>MSS ETH驱动发送丢包计数</t>
  </si>
  <si>
    <t>修改prach噪声功率单位</t>
    <phoneticPr fontId="19" type="noConversion"/>
  </si>
  <si>
    <t>prach噪声，单位db，始终按小区级统计上报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</si>
</sst>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宋体"/>
      <charset val="134"/>
      <scheme val="minor"/>
    </font>
    <font>
      <sz val="10"/>
      <color theme="1"/>
      <name val="黑体"/>
      <charset val="134"/>
    </font>
    <font>
      <b/>
      <sz val="10"/>
      <color theme="1"/>
      <name val="黑体"/>
      <charset val="134"/>
    </font>
    <font>
      <b/>
      <sz val="10"/>
      <name val="黑体"/>
      <charset val="134"/>
    </font>
    <font>
      <sz val="10"/>
      <name val="黑体"/>
      <charset val="134"/>
    </font>
    <font>
      <sz val="10"/>
      <color rgb="FFFF0000"/>
      <name val="黑体"/>
      <charset val="134"/>
    </font>
    <font>
      <sz val="10.5"/>
      <color theme="1"/>
      <name val="黑体"/>
      <charset val="134"/>
    </font>
    <font>
      <sz val="11"/>
      <color rgb="FF000000"/>
      <name val="黑体"/>
      <charset val="134"/>
    </font>
    <font>
      <sz val="11"/>
      <color theme="1"/>
      <name val="宋体"/>
      <charset val="134"/>
      <scheme val="minor"/>
    </font>
    <font>
      <sz val="10"/>
      <color rgb="FF9C0006"/>
      <name val="黑体"/>
      <charset val="134"/>
    </font>
    <font>
      <sz val="11"/>
      <color rgb="FF9C0006"/>
      <name val="宋体"/>
      <charset val="134"/>
      <scheme val="minor"/>
    </font>
    <font>
      <sz val="11"/>
      <color theme="1"/>
      <name val="黑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sz val="10"/>
      <color theme="1"/>
      <name val="Calibri"/>
      <family val="2"/>
    </font>
    <font>
      <sz val="10.5"/>
      <color theme="1"/>
      <name val="宋体"/>
      <charset val="134"/>
    </font>
    <font>
      <sz val="10.5"/>
      <color theme="1"/>
      <name val="Calibri"/>
      <family val="2"/>
    </font>
    <font>
      <sz val="9"/>
      <name val="宋体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829096346934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145481734672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8"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1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1" fillId="0" borderId="1" xfId="2" applyFont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0" fontId="4" fillId="4" borderId="1" xfId="17" applyFont="1" applyFill="1" applyBorder="1" applyAlignment="1">
      <alignment vertical="center" wrapText="1"/>
    </xf>
    <xf numFmtId="0" fontId="1" fillId="4" borderId="1" xfId="17" applyFont="1" applyFill="1" applyBorder="1" applyAlignment="1">
      <alignment horizontal="center" vertical="center" wrapText="1"/>
    </xf>
    <xf numFmtId="0" fontId="1" fillId="4" borderId="1" xfId="2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4" fillId="5" borderId="1" xfId="17" applyFont="1" applyFill="1" applyBorder="1" applyAlignment="1">
      <alignment vertical="center" wrapText="1"/>
    </xf>
    <xf numFmtId="0" fontId="1" fillId="5" borderId="1" xfId="17" applyFont="1" applyFill="1" applyBorder="1" applyAlignment="1">
      <alignment horizontal="center" vertical="center" wrapText="1"/>
    </xf>
    <xf numFmtId="0" fontId="1" fillId="5" borderId="1" xfId="2" applyFont="1" applyFill="1" applyBorder="1" applyAlignment="1">
      <alignment horizontal="center" vertical="center" wrapText="1"/>
    </xf>
    <xf numFmtId="0" fontId="4" fillId="4" borderId="1" xfId="17" applyFont="1" applyFill="1" applyBorder="1" applyAlignment="1">
      <alignment horizontal="left" vertical="center" wrapText="1"/>
    </xf>
    <xf numFmtId="0" fontId="2" fillId="0" borderId="1" xfId="2" applyFont="1" applyFill="1" applyBorder="1" applyAlignment="1">
      <alignment horizontal="center" vertical="center" wrapText="1"/>
    </xf>
    <xf numFmtId="0" fontId="2" fillId="4" borderId="1" xfId="17" applyFont="1" applyFill="1" applyBorder="1" applyAlignment="1">
      <alignment horizontal="center" vertical="center" wrapText="1"/>
    </xf>
    <xf numFmtId="49" fontId="4" fillId="0" borderId="1" xfId="17" applyNumberFormat="1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49" fontId="4" fillId="0" borderId="1" xfId="17" applyNumberFormat="1" applyFont="1" applyFill="1" applyBorder="1" applyAlignment="1">
      <alignment vertical="center" wrapText="1"/>
    </xf>
    <xf numFmtId="0" fontId="2" fillId="5" borderId="1" xfId="17" applyFont="1" applyFill="1" applyBorder="1" applyAlignment="1">
      <alignment horizontal="center" vertical="center" wrapText="1"/>
    </xf>
    <xf numFmtId="0" fontId="4" fillId="5" borderId="1" xfId="17" applyFont="1" applyFill="1" applyBorder="1" applyAlignment="1">
      <alignment horizontal="left" vertical="center" wrapText="1"/>
    </xf>
    <xf numFmtId="0" fontId="5" fillId="4" borderId="1" xfId="17" applyFont="1" applyFill="1" applyBorder="1" applyAlignment="1">
      <alignment horizontal="left" vertical="center" wrapText="1"/>
    </xf>
    <xf numFmtId="0" fontId="6" fillId="4" borderId="1" xfId="17" applyFont="1" applyFill="1" applyBorder="1" applyAlignment="1">
      <alignment horizontal="left" vertical="center" wrapText="1"/>
    </xf>
    <xf numFmtId="0" fontId="4" fillId="4" borderId="1" xfId="17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/>
    </xf>
    <xf numFmtId="0" fontId="0" fillId="6" borderId="2" xfId="0" applyFill="1" applyBorder="1" applyAlignment="1">
      <alignment vertical="center"/>
    </xf>
    <xf numFmtId="0" fontId="0" fillId="6" borderId="1" xfId="1" applyFont="1" applyFill="1" applyBorder="1">
      <alignment vertical="center"/>
    </xf>
    <xf numFmtId="0" fontId="0" fillId="6" borderId="1" xfId="0" applyFill="1" applyBorder="1">
      <alignment vertical="center"/>
    </xf>
    <xf numFmtId="0" fontId="1" fillId="6" borderId="1" xfId="1" applyFont="1" applyFill="1" applyBorder="1" applyAlignment="1">
      <alignment horizontal="center" vertical="center" wrapText="1"/>
    </xf>
    <xf numFmtId="0" fontId="0" fillId="6" borderId="1" xfId="1" applyFont="1" applyFill="1" applyBorder="1" applyAlignment="1">
      <alignment horizontal="center" vertical="center" wrapText="1"/>
    </xf>
    <xf numFmtId="0" fontId="0" fillId="6" borderId="3" xfId="0" applyFill="1" applyBorder="1" applyAlignment="1">
      <alignment vertical="center"/>
    </xf>
    <xf numFmtId="0" fontId="8" fillId="6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9" fillId="7" borderId="3" xfId="1" applyFont="1" applyBorder="1" applyAlignment="1">
      <alignment horizontal="center" vertical="center"/>
    </xf>
    <xf numFmtId="0" fontId="10" fillId="7" borderId="1" xfId="1" applyBorder="1">
      <alignment vertical="center"/>
    </xf>
    <xf numFmtId="0" fontId="9" fillId="7" borderId="1" xfId="1" applyFont="1" applyBorder="1">
      <alignment vertical="center"/>
    </xf>
    <xf numFmtId="0" fontId="9" fillId="7" borderId="1" xfId="1" applyFont="1" applyBorder="1" applyAlignment="1">
      <alignment horizontal="center" vertical="center" wrapText="1"/>
    </xf>
    <xf numFmtId="0" fontId="10" fillId="7" borderId="1" xfId="1" applyBorder="1" applyAlignment="1">
      <alignment horizontal="center" vertical="center" wrapText="1"/>
    </xf>
    <xf numFmtId="0" fontId="11" fillId="5" borderId="1" xfId="18" applyFont="1" applyFill="1" applyBorder="1" applyAlignment="1">
      <alignment horizontal="left"/>
    </xf>
    <xf numFmtId="0" fontId="0" fillId="5" borderId="8" xfId="0" applyFill="1" applyBorder="1" applyAlignment="1">
      <alignment horizontal="center" vertical="center"/>
    </xf>
    <xf numFmtId="0" fontId="1" fillId="5" borderId="1" xfId="17" applyFont="1" applyFill="1" applyBorder="1" applyAlignment="1">
      <alignment horizontal="left" vertical="center" wrapText="1"/>
    </xf>
    <xf numFmtId="0" fontId="0" fillId="8" borderId="1" xfId="0" applyFill="1" applyBorder="1">
      <alignment vertical="center"/>
    </xf>
    <xf numFmtId="0" fontId="11" fillId="8" borderId="1" xfId="0" applyFont="1" applyFill="1" applyBorder="1" applyAlignment="1">
      <alignment horizontal="left"/>
    </xf>
    <xf numFmtId="0" fontId="1" fillId="8" borderId="1" xfId="17" applyFont="1" applyFill="1" applyBorder="1" applyAlignment="1">
      <alignment horizontal="center" vertical="center" wrapText="1"/>
    </xf>
    <xf numFmtId="0" fontId="1" fillId="8" borderId="1" xfId="17" applyFont="1" applyFill="1" applyBorder="1" applyAlignment="1">
      <alignment horizontal="left" vertical="center" wrapText="1"/>
    </xf>
    <xf numFmtId="0" fontId="5" fillId="8" borderId="1" xfId="17" applyFont="1" applyFill="1" applyBorder="1" applyAlignment="1">
      <alignment horizontal="center" vertical="center" wrapText="1"/>
    </xf>
    <xf numFmtId="0" fontId="12" fillId="8" borderId="8" xfId="0" applyFont="1" applyFill="1" applyBorder="1" applyAlignment="1">
      <alignment vertical="center" wrapText="1"/>
    </xf>
    <xf numFmtId="0" fontId="12" fillId="8" borderId="1" xfId="0" applyFont="1" applyFill="1" applyBorder="1">
      <alignment vertical="center"/>
    </xf>
    <xf numFmtId="0" fontId="11" fillId="5" borderId="1" xfId="0" applyFont="1" applyFill="1" applyBorder="1" applyAlignment="1">
      <alignment horizontal="left"/>
    </xf>
    <xf numFmtId="49" fontId="1" fillId="0" borderId="1" xfId="17" applyNumberFormat="1" applyFont="1" applyFill="1" applyBorder="1" applyAlignment="1">
      <alignment horizontal="left" vertical="center" wrapText="1"/>
    </xf>
    <xf numFmtId="49" fontId="0" fillId="0" borderId="1" xfId="0" applyNumberFormat="1" applyBorder="1">
      <alignment vertical="center"/>
    </xf>
    <xf numFmtId="0" fontId="1" fillId="8" borderId="1" xfId="8" applyFont="1" applyFill="1" applyBorder="1" applyAlignment="1">
      <alignment horizontal="center" vertical="center" wrapText="1"/>
    </xf>
    <xf numFmtId="0" fontId="5" fillId="8" borderId="1" xfId="8" applyFont="1" applyFill="1" applyBorder="1" applyAlignment="1">
      <alignment horizontal="center" vertical="center" wrapText="1"/>
    </xf>
    <xf numFmtId="0" fontId="5" fillId="8" borderId="1" xfId="17" applyFont="1" applyFill="1" applyBorder="1" applyAlignment="1">
      <alignment horizontal="left" vertical="center" wrapText="1"/>
    </xf>
    <xf numFmtId="49" fontId="5" fillId="0" borderId="1" xfId="17" applyNumberFormat="1" applyFont="1" applyFill="1" applyBorder="1" applyAlignment="1">
      <alignment horizontal="left" vertical="center" wrapText="1"/>
    </xf>
    <xf numFmtId="49" fontId="12" fillId="0" borderId="1" xfId="0" applyNumberFormat="1" applyFont="1" applyBorder="1">
      <alignment vertical="center"/>
    </xf>
    <xf numFmtId="0" fontId="11" fillId="5" borderId="1" xfId="0" applyFont="1" applyFill="1" applyBorder="1" applyAlignment="1">
      <alignment horizontal="center" vertical="center"/>
    </xf>
    <xf numFmtId="0" fontId="2" fillId="2" borderId="0" xfId="2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12" fillId="4" borderId="1" xfId="0" applyFont="1" applyFill="1" applyBorder="1" applyAlignment="1">
      <alignment vertical="center" wrapText="1"/>
    </xf>
    <xf numFmtId="0" fontId="12" fillId="4" borderId="1" xfId="0" applyFont="1" applyFill="1" applyBorder="1">
      <alignment vertical="center"/>
    </xf>
    <xf numFmtId="0" fontId="10" fillId="7" borderId="1" xfId="1" applyBorder="1" applyAlignment="1">
      <alignment vertical="center" wrapText="1"/>
    </xf>
    <xf numFmtId="0" fontId="0" fillId="0" borderId="1" xfId="0" applyFill="1" applyBorder="1">
      <alignment vertical="center"/>
    </xf>
    <xf numFmtId="0" fontId="13" fillId="5" borderId="1" xfId="1" applyFont="1" applyFill="1" applyBorder="1" applyAlignment="1">
      <alignment horizontal="center" vertical="center" wrapText="1"/>
    </xf>
    <xf numFmtId="0" fontId="11" fillId="9" borderId="1" xfId="17" applyFont="1" applyFill="1" applyBorder="1" applyAlignment="1">
      <alignment horizontal="right" vertical="center" wrapText="1"/>
    </xf>
    <xf numFmtId="0" fontId="1" fillId="9" borderId="1" xfId="17" applyFont="1" applyFill="1" applyBorder="1" applyAlignment="1">
      <alignment horizontal="left" vertical="center" wrapText="1"/>
    </xf>
    <xf numFmtId="0" fontId="1" fillId="10" borderId="1" xfId="17" applyFont="1" applyFill="1" applyBorder="1" applyAlignment="1">
      <alignment horizontal="left" vertical="center" wrapText="1"/>
    </xf>
    <xf numFmtId="0" fontId="1" fillId="10" borderId="1" xfId="2" applyFont="1" applyFill="1" applyBorder="1" applyAlignment="1">
      <alignment horizontal="center" vertical="center" wrapText="1"/>
    </xf>
    <xf numFmtId="0" fontId="1" fillId="10" borderId="1" xfId="17" applyFont="1" applyFill="1" applyBorder="1" applyAlignment="1">
      <alignment horizontal="center" vertical="center" wrapText="1"/>
    </xf>
    <xf numFmtId="0" fontId="1" fillId="9" borderId="1" xfId="2" applyFont="1" applyFill="1" applyBorder="1" applyAlignment="1">
      <alignment horizontal="center" vertical="center" wrapText="1"/>
    </xf>
    <xf numFmtId="0" fontId="1" fillId="9" borderId="1" xfId="17" applyFont="1" applyFill="1" applyBorder="1" applyAlignment="1">
      <alignment horizontal="center" vertical="center" wrapText="1"/>
    </xf>
    <xf numFmtId="0" fontId="0" fillId="9" borderId="1" xfId="0" applyFill="1" applyBorder="1">
      <alignment vertical="center"/>
    </xf>
    <xf numFmtId="0" fontId="4" fillId="5" borderId="1" xfId="2" applyFont="1" applyFill="1" applyBorder="1" applyAlignment="1">
      <alignment horizontal="center" vertical="center" wrapText="1"/>
    </xf>
    <xf numFmtId="0" fontId="2" fillId="10" borderId="1" xfId="17" applyFont="1" applyFill="1" applyBorder="1" applyAlignment="1">
      <alignment horizontal="center" vertical="center" wrapText="1"/>
    </xf>
    <xf numFmtId="0" fontId="2" fillId="9" borderId="1" xfId="17" applyFont="1" applyFill="1" applyBorder="1" applyAlignment="1">
      <alignment horizontal="center" vertical="center" wrapText="1"/>
    </xf>
    <xf numFmtId="0" fontId="0" fillId="11" borderId="1" xfId="1" applyFont="1" applyFill="1" applyBorder="1">
      <alignment vertical="center"/>
    </xf>
    <xf numFmtId="0" fontId="0" fillId="11" borderId="1" xfId="1" applyFont="1" applyFill="1" applyBorder="1" applyAlignment="1">
      <alignment horizontal="left" vertical="center" wrapText="1"/>
    </xf>
    <xf numFmtId="0" fontId="0" fillId="11" borderId="1" xfId="1" applyFont="1" applyFill="1" applyBorder="1" applyAlignment="1">
      <alignment horizontal="center" vertical="center" wrapText="1"/>
    </xf>
    <xf numFmtId="0" fontId="1" fillId="11" borderId="1" xfId="17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wrapText="1"/>
    </xf>
    <xf numFmtId="0" fontId="0" fillId="11" borderId="1" xfId="0" applyFont="1" applyFill="1" applyBorder="1">
      <alignment vertical="center"/>
    </xf>
    <xf numFmtId="0" fontId="1" fillId="11" borderId="1" xfId="17" applyFont="1" applyFill="1" applyBorder="1" applyAlignment="1">
      <alignment horizontal="center" vertical="center" wrapText="1"/>
    </xf>
    <xf numFmtId="0" fontId="1" fillId="11" borderId="1" xfId="2" applyFont="1" applyFill="1" applyBorder="1" applyAlignment="1">
      <alignment horizontal="center" vertical="center" wrapText="1"/>
    </xf>
    <xf numFmtId="49" fontId="0" fillId="0" borderId="1" xfId="1" applyNumberFormat="1" applyFont="1" applyFill="1" applyBorder="1" applyAlignment="1">
      <alignment horizontal="left" vertical="center" wrapText="1"/>
    </xf>
    <xf numFmtId="0" fontId="5" fillId="11" borderId="1" xfId="17" applyFont="1" applyFill="1" applyBorder="1" applyAlignment="1">
      <alignment horizontal="left" vertical="center" wrapText="1"/>
    </xf>
    <xf numFmtId="0" fontId="2" fillId="11" borderId="1" xfId="17" applyFont="1" applyFill="1" applyBorder="1" applyAlignment="1">
      <alignment horizontal="center" vertical="center" wrapText="1"/>
    </xf>
    <xf numFmtId="0" fontId="14" fillId="0" borderId="1" xfId="0" applyFont="1" applyBorder="1">
      <alignment vertical="center"/>
    </xf>
    <xf numFmtId="0" fontId="14" fillId="0" borderId="1" xfId="0" applyFont="1" applyFill="1" applyBorder="1">
      <alignment vertical="center"/>
    </xf>
    <xf numFmtId="0" fontId="15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" fillId="9" borderId="7" xfId="17" applyFont="1" applyFill="1" applyBorder="1" applyAlignment="1">
      <alignment horizontal="center" vertical="center" wrapText="1"/>
    </xf>
    <xf numFmtId="0" fontId="1" fillId="9" borderId="8" xfId="17" applyFont="1" applyFill="1" applyBorder="1" applyAlignment="1">
      <alignment horizontal="center" vertical="center" wrapText="1"/>
    </xf>
    <xf numFmtId="0" fontId="1" fillId="9" borderId="9" xfId="17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11" borderId="7" xfId="0" applyFont="1" applyFill="1" applyBorder="1" applyAlignment="1">
      <alignment horizontal="center" vertical="center"/>
    </xf>
    <xf numFmtId="0" fontId="0" fillId="11" borderId="8" xfId="0" applyFont="1" applyFill="1" applyBorder="1" applyAlignment="1">
      <alignment horizontal="center" vertical="center"/>
    </xf>
    <xf numFmtId="0" fontId="0" fillId="11" borderId="9" xfId="0" applyFont="1" applyFill="1" applyBorder="1" applyAlignment="1">
      <alignment horizontal="center" vertical="center"/>
    </xf>
    <xf numFmtId="0" fontId="10" fillId="7" borderId="2" xfId="1" applyBorder="1" applyAlignment="1">
      <alignment horizontal="center" vertical="center"/>
    </xf>
    <xf numFmtId="0" fontId="10" fillId="7" borderId="3" xfId="1" applyBorder="1" applyAlignment="1">
      <alignment horizontal="center" vertical="center"/>
    </xf>
    <xf numFmtId="0" fontId="0" fillId="8" borderId="7" xfId="0" applyFill="1" applyBorder="1" applyAlignment="1">
      <alignment vertical="center" wrapText="1"/>
    </xf>
    <xf numFmtId="0" fontId="0" fillId="8" borderId="8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1" fillId="4" borderId="2" xfId="17" applyFont="1" applyFill="1" applyBorder="1" applyAlignment="1">
      <alignment horizontal="center" vertical="center" wrapText="1"/>
    </xf>
    <xf numFmtId="0" fontId="1" fillId="4" borderId="3" xfId="17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28">
    <cellStyle name="差" xfId="1" builtinId="27"/>
    <cellStyle name="常规" xfId="0" builtinId="0"/>
    <cellStyle name="常规 2" xfId="2"/>
    <cellStyle name="常规 2 2" xfId="3"/>
    <cellStyle name="常规 2 2 2" xfId="4"/>
    <cellStyle name="常规 2 2 2 2" xfId="5"/>
    <cellStyle name="常规 2 2 3" xfId="6"/>
    <cellStyle name="常规 2 2 4" xfId="7"/>
    <cellStyle name="常规 2 2 4 2" xfId="8"/>
    <cellStyle name="常规 2 3" xfId="9"/>
    <cellStyle name="常规 2 3 2" xfId="10"/>
    <cellStyle name="常规 2 3 2 2" xfId="11"/>
    <cellStyle name="常规 2 3 3" xfId="12"/>
    <cellStyle name="常规 2 4" xfId="13"/>
    <cellStyle name="常规 2 4 2" xfId="14"/>
    <cellStyle name="常规 2 5" xfId="15"/>
    <cellStyle name="常规 2 5 2" xfId="16"/>
    <cellStyle name="常规 2 6" xfId="17"/>
    <cellStyle name="常规 3" xfId="18"/>
    <cellStyle name="常规 3 2" xfId="19"/>
    <cellStyle name="常规 3 2 2" xfId="20"/>
    <cellStyle name="常规 3 3" xfId="21"/>
    <cellStyle name="常规 3 3 2" xfId="22"/>
    <cellStyle name="常规 4" xfId="23"/>
    <cellStyle name="常规 4 2" xfId="24"/>
    <cellStyle name="常规 5" xfId="25"/>
    <cellStyle name="常规 5 2" xfId="26"/>
    <cellStyle name="常规 5 3" xf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workbookViewId="0">
      <selection activeCell="D15" sqref="D15"/>
    </sheetView>
  </sheetViews>
  <sheetFormatPr defaultColWidth="9" defaultRowHeight="13.5"/>
  <cols>
    <col min="1" max="1" width="11.625" customWidth="1"/>
    <col min="4" max="4" width="56.875" customWidth="1"/>
  </cols>
  <sheetData>
    <row r="1" spans="1:5">
      <c r="A1" s="95" t="s">
        <v>0</v>
      </c>
      <c r="B1" s="95" t="s">
        <v>1</v>
      </c>
      <c r="C1" s="95" t="s">
        <v>2</v>
      </c>
      <c r="D1" s="95" t="s">
        <v>3</v>
      </c>
      <c r="E1" s="95" t="s">
        <v>4</v>
      </c>
    </row>
    <row r="2" spans="1:5">
      <c r="A2" s="96">
        <v>45946</v>
      </c>
      <c r="B2" s="1" t="s">
        <v>5</v>
      </c>
      <c r="C2" t="s">
        <v>6</v>
      </c>
      <c r="D2" s="97" t="s">
        <v>7</v>
      </c>
    </row>
    <row r="3" spans="1:5" ht="67.5">
      <c r="A3" s="96">
        <v>45946</v>
      </c>
      <c r="B3" s="1" t="s">
        <v>8</v>
      </c>
      <c r="C3" t="s">
        <v>6</v>
      </c>
      <c r="D3" s="97" t="s">
        <v>9</v>
      </c>
    </row>
    <row r="4" spans="1:5" ht="27">
      <c r="A4" s="96">
        <v>45947</v>
      </c>
      <c r="B4" s="1" t="s">
        <v>10</v>
      </c>
      <c r="C4" t="s">
        <v>6</v>
      </c>
      <c r="D4" s="98" t="s">
        <v>11</v>
      </c>
    </row>
    <row r="5" spans="1:5" ht="27">
      <c r="A5" s="96">
        <v>45959</v>
      </c>
      <c r="B5" s="1" t="s">
        <v>10</v>
      </c>
      <c r="C5" t="s">
        <v>6</v>
      </c>
      <c r="D5" s="98" t="s">
        <v>12</v>
      </c>
    </row>
    <row r="6" spans="1:5">
      <c r="A6" s="96">
        <v>45965</v>
      </c>
      <c r="B6" s="99" t="s">
        <v>13</v>
      </c>
      <c r="C6" s="100" t="s">
        <v>14</v>
      </c>
      <c r="D6" s="98" t="s">
        <v>15</v>
      </c>
    </row>
    <row r="7" spans="1:5">
      <c r="A7" s="96">
        <v>45994</v>
      </c>
      <c r="B7" s="99" t="s">
        <v>13</v>
      </c>
      <c r="C7" s="100" t="s">
        <v>6</v>
      </c>
      <c r="D7" s="98" t="s">
        <v>16</v>
      </c>
    </row>
    <row r="8" spans="1:5" ht="27">
      <c r="A8" s="96">
        <v>45994</v>
      </c>
      <c r="B8" s="99" t="s">
        <v>17</v>
      </c>
      <c r="C8" s="100" t="s">
        <v>6</v>
      </c>
      <c r="D8" s="98" t="s">
        <v>18</v>
      </c>
    </row>
    <row r="9" spans="1:5">
      <c r="A9" s="96">
        <v>45996</v>
      </c>
      <c r="B9" s="99" t="s">
        <v>13</v>
      </c>
      <c r="C9" s="100" t="s">
        <v>6</v>
      </c>
      <c r="D9" s="98" t="s">
        <v>19</v>
      </c>
    </row>
    <row r="10" spans="1:5">
      <c r="A10" s="96">
        <v>46007</v>
      </c>
      <c r="B10" s="99" t="s">
        <v>10</v>
      </c>
      <c r="C10" s="100" t="s">
        <v>6</v>
      </c>
      <c r="D10" s="98" t="s">
        <v>20</v>
      </c>
    </row>
    <row r="11" spans="1:5">
      <c r="A11" s="96">
        <v>46020</v>
      </c>
      <c r="B11" s="1" t="s">
        <v>13</v>
      </c>
      <c r="C11" s="100" t="s">
        <v>6</v>
      </c>
      <c r="D11" s="97" t="s">
        <v>21</v>
      </c>
    </row>
    <row r="12" spans="1:5" ht="40.5">
      <c r="A12" s="96">
        <v>46052</v>
      </c>
      <c r="B12" s="99" t="s">
        <v>10</v>
      </c>
      <c r="C12" s="100" t="s">
        <v>6</v>
      </c>
      <c r="D12" s="98" t="s">
        <v>22</v>
      </c>
    </row>
    <row r="13" spans="1:5">
      <c r="A13" s="96">
        <v>46113</v>
      </c>
      <c r="B13" s="1" t="s">
        <v>13</v>
      </c>
      <c r="C13" s="100" t="s">
        <v>6</v>
      </c>
      <c r="D13" s="98" t="s">
        <v>23</v>
      </c>
    </row>
    <row r="14" spans="1:5" ht="27">
      <c r="A14" s="96">
        <v>46128</v>
      </c>
      <c r="B14" s="1" t="s">
        <v>8</v>
      </c>
      <c r="C14" t="s">
        <v>6</v>
      </c>
      <c r="D14" s="97" t="s">
        <v>24</v>
      </c>
    </row>
    <row r="15" spans="1:5">
      <c r="A15" s="96">
        <v>46154</v>
      </c>
      <c r="B15" s="1" t="s">
        <v>13</v>
      </c>
      <c r="C15" s="100" t="s">
        <v>6</v>
      </c>
      <c r="D15" s="97" t="s">
        <v>692</v>
      </c>
    </row>
    <row r="16" spans="1:5">
      <c r="A16" s="96"/>
      <c r="B16" s="1"/>
      <c r="D16" s="97"/>
    </row>
    <row r="17" spans="1:4">
      <c r="A17" s="96"/>
      <c r="B17" s="1"/>
      <c r="D17" s="97"/>
    </row>
    <row r="18" spans="1:4">
      <c r="A18" s="96"/>
      <c r="B18" s="1"/>
      <c r="D18" s="97"/>
    </row>
    <row r="19" spans="1:4">
      <c r="A19" s="96"/>
      <c r="B19" s="1"/>
      <c r="D19" s="97"/>
    </row>
    <row r="20" spans="1:4">
      <c r="A20" s="96"/>
      <c r="B20" s="1"/>
      <c r="D20" s="97"/>
    </row>
    <row r="21" spans="1:4">
      <c r="A21" s="96"/>
      <c r="B21" s="1"/>
      <c r="D21" s="97"/>
    </row>
    <row r="22" spans="1:4">
      <c r="A22" s="96"/>
      <c r="B22" s="1"/>
      <c r="D22" s="97"/>
    </row>
    <row r="23" spans="1:4">
      <c r="A23" s="96"/>
      <c r="B23" s="1"/>
      <c r="D23" s="97"/>
    </row>
    <row r="24" spans="1:4">
      <c r="A24" s="96"/>
      <c r="B24" s="1"/>
      <c r="D24" s="97"/>
    </row>
    <row r="25" spans="1:4">
      <c r="A25" s="96"/>
      <c r="B25" s="1"/>
      <c r="D25" s="97"/>
    </row>
    <row r="26" spans="1:4">
      <c r="A26" s="96"/>
      <c r="B26" s="1"/>
      <c r="D26" s="97"/>
    </row>
    <row r="27" spans="1:4">
      <c r="A27" s="96"/>
      <c r="B27" s="1"/>
      <c r="D27" s="97"/>
    </row>
    <row r="28" spans="1:4">
      <c r="A28" s="96"/>
      <c r="B28" s="1"/>
      <c r="D28" s="97"/>
    </row>
    <row r="29" spans="1:4">
      <c r="A29" s="96"/>
      <c r="B29" s="1"/>
      <c r="D29" s="97"/>
    </row>
    <row r="30" spans="1:4">
      <c r="A30" s="96"/>
      <c r="B30" s="1"/>
      <c r="D30" s="97"/>
    </row>
    <row r="31" spans="1:4">
      <c r="A31" s="96"/>
      <c r="B31" s="1"/>
      <c r="D31" s="97"/>
    </row>
    <row r="32" spans="1:4">
      <c r="A32" s="96"/>
      <c r="B32" s="1"/>
      <c r="D32" s="97"/>
    </row>
    <row r="33" spans="1:4">
      <c r="A33" s="96"/>
      <c r="B33" s="1"/>
      <c r="D33" s="97"/>
    </row>
    <row r="34" spans="1:4">
      <c r="A34" s="96"/>
      <c r="B34" s="1"/>
      <c r="D34" s="97"/>
    </row>
    <row r="35" spans="1:4">
      <c r="A35" s="96"/>
      <c r="B35" s="1"/>
      <c r="D35" s="97"/>
    </row>
    <row r="36" spans="1:4">
      <c r="A36" s="96"/>
      <c r="B36" s="1"/>
      <c r="D36" s="97"/>
    </row>
    <row r="37" spans="1:4">
      <c r="A37" s="96"/>
      <c r="B37" s="1"/>
      <c r="D37" s="97"/>
    </row>
    <row r="38" spans="1:4">
      <c r="A38" s="96"/>
      <c r="B38" s="1"/>
      <c r="D38" s="97"/>
    </row>
    <row r="39" spans="1:4">
      <c r="A39" s="96"/>
      <c r="B39" s="1"/>
      <c r="D39" s="97"/>
    </row>
    <row r="40" spans="1:4">
      <c r="A40" s="96"/>
      <c r="B40" s="1"/>
      <c r="D40" s="97"/>
    </row>
    <row r="41" spans="1:4">
      <c r="A41" s="96"/>
      <c r="B41" s="1"/>
      <c r="D41" s="97"/>
    </row>
    <row r="42" spans="1:4">
      <c r="A42" s="96"/>
      <c r="B42" s="1"/>
      <c r="D42" s="97"/>
    </row>
    <row r="43" spans="1:4">
      <c r="A43" s="96"/>
      <c r="B43" s="1"/>
      <c r="D43" s="97"/>
    </row>
    <row r="44" spans="1:4">
      <c r="A44" s="96"/>
      <c r="B44" s="1"/>
      <c r="D44" s="97"/>
    </row>
    <row r="45" spans="1:4">
      <c r="A45" s="96"/>
      <c r="B45" s="1"/>
      <c r="D45" s="97"/>
    </row>
    <row r="46" spans="1:4">
      <c r="A46" s="96"/>
      <c r="B46" s="1"/>
      <c r="D46" s="97"/>
    </row>
    <row r="47" spans="1:4">
      <c r="A47" s="96"/>
      <c r="B47" s="1"/>
      <c r="D47" s="97"/>
    </row>
    <row r="48" spans="1:4">
      <c r="A48" s="96"/>
      <c r="B48" s="1"/>
      <c r="D48" s="97"/>
    </row>
    <row r="49" spans="1:4">
      <c r="A49" s="96"/>
      <c r="B49" s="1"/>
      <c r="D49" s="97"/>
    </row>
    <row r="50" spans="1:4">
      <c r="A50" s="96"/>
      <c r="B50" s="1"/>
      <c r="D50" s="97"/>
    </row>
    <row r="51" spans="1:4">
      <c r="A51" s="96"/>
      <c r="B51" s="1"/>
      <c r="D51" s="97"/>
    </row>
    <row r="52" spans="1:4">
      <c r="A52" s="96"/>
      <c r="B52" s="1"/>
      <c r="D52" s="97"/>
    </row>
    <row r="53" spans="1:4">
      <c r="A53" s="96"/>
      <c r="B53" s="1"/>
      <c r="D53" s="97"/>
    </row>
    <row r="54" spans="1:4">
      <c r="A54" s="96"/>
      <c r="B54" s="1"/>
      <c r="D54" s="97"/>
    </row>
    <row r="55" spans="1:4">
      <c r="A55" s="96"/>
      <c r="B55" s="1"/>
      <c r="D55" s="97"/>
    </row>
    <row r="56" spans="1:4">
      <c r="A56" s="96"/>
      <c r="B56" s="1"/>
      <c r="D56" s="97"/>
    </row>
    <row r="57" spans="1:4">
      <c r="A57" s="96"/>
      <c r="B57" s="1"/>
      <c r="D57" s="97"/>
    </row>
    <row r="58" spans="1:4">
      <c r="A58" s="96"/>
      <c r="B58" s="1"/>
      <c r="D58" s="97"/>
    </row>
    <row r="59" spans="1:4">
      <c r="A59" s="96"/>
      <c r="B59" s="1"/>
      <c r="D59" s="97"/>
    </row>
    <row r="60" spans="1:4">
      <c r="A60" s="96"/>
      <c r="B60" s="1"/>
      <c r="D60" s="97"/>
    </row>
    <row r="61" spans="1:4">
      <c r="A61" s="96"/>
      <c r="B61" s="1"/>
      <c r="D61" s="97"/>
    </row>
    <row r="62" spans="1:4">
      <c r="A62" s="96"/>
      <c r="B62" s="1"/>
      <c r="D62" s="97"/>
    </row>
    <row r="63" spans="1:4">
      <c r="A63" s="96"/>
      <c r="B63" s="1"/>
      <c r="D63" s="97"/>
    </row>
    <row r="64" spans="1:4">
      <c r="A64" s="96"/>
      <c r="B64" s="1"/>
      <c r="D64" s="97"/>
    </row>
    <row r="65" spans="1:4">
      <c r="A65" s="96"/>
      <c r="B65" s="1"/>
      <c r="D65" s="97"/>
    </row>
    <row r="66" spans="1:4">
      <c r="A66" s="96"/>
      <c r="B66" s="1"/>
      <c r="D66" s="97"/>
    </row>
    <row r="67" spans="1:4">
      <c r="A67" s="96"/>
      <c r="B67" s="1"/>
      <c r="D67" s="97"/>
    </row>
    <row r="68" spans="1:4">
      <c r="A68" s="96"/>
      <c r="B68" s="1"/>
      <c r="D68" s="97"/>
    </row>
    <row r="69" spans="1:4">
      <c r="A69" s="96"/>
      <c r="B69" s="1"/>
      <c r="D69" s="97"/>
    </row>
    <row r="70" spans="1:4">
      <c r="A70" s="96"/>
      <c r="B70" s="1"/>
      <c r="D70" s="97"/>
    </row>
    <row r="71" spans="1:4">
      <c r="A71" s="96"/>
      <c r="B71" s="1"/>
      <c r="D71" s="97"/>
    </row>
    <row r="72" spans="1:4">
      <c r="A72" s="96"/>
      <c r="B72" s="1"/>
      <c r="D72" s="97"/>
    </row>
    <row r="73" spans="1:4">
      <c r="A73" s="96"/>
      <c r="B73" s="1"/>
      <c r="D73" s="97"/>
    </row>
    <row r="74" spans="1:4">
      <c r="A74" s="96"/>
      <c r="B74" s="1"/>
      <c r="D74" s="97"/>
    </row>
    <row r="75" spans="1:4">
      <c r="A75" s="96"/>
      <c r="B75" s="1"/>
      <c r="D75" s="97"/>
    </row>
    <row r="76" spans="1:4">
      <c r="A76" s="96"/>
      <c r="B76" s="1"/>
      <c r="D76" s="97"/>
    </row>
    <row r="77" spans="1:4">
      <c r="A77" s="96"/>
      <c r="B77" s="1"/>
      <c r="D77" s="97"/>
    </row>
    <row r="78" spans="1:4">
      <c r="A78" s="96"/>
      <c r="B78" s="1"/>
      <c r="D78" s="97"/>
    </row>
    <row r="79" spans="1:4">
      <c r="A79" s="96"/>
      <c r="B79" s="1"/>
      <c r="D79" s="97"/>
    </row>
    <row r="80" spans="1:4">
      <c r="A80" s="96"/>
      <c r="B80" s="1"/>
      <c r="D80" s="97"/>
    </row>
    <row r="81" spans="1:4">
      <c r="A81" s="96"/>
      <c r="B81" s="1"/>
      <c r="D81" s="97"/>
    </row>
    <row r="82" spans="1:4">
      <c r="A82" s="96"/>
      <c r="B82" s="1"/>
      <c r="D82" s="97"/>
    </row>
    <row r="83" spans="1:4">
      <c r="A83" s="96"/>
      <c r="B83" s="1"/>
      <c r="D83" s="97"/>
    </row>
    <row r="84" spans="1:4">
      <c r="A84" s="96"/>
      <c r="B84" s="1"/>
      <c r="D84" s="97"/>
    </row>
    <row r="85" spans="1:4">
      <c r="A85" s="96"/>
      <c r="B85" s="1"/>
      <c r="D85" s="97"/>
    </row>
    <row r="86" spans="1:4">
      <c r="A86" s="96"/>
      <c r="B86" s="1"/>
      <c r="D86" s="97"/>
    </row>
    <row r="87" spans="1:4">
      <c r="A87" s="96"/>
      <c r="B87" s="1"/>
      <c r="D87" s="97"/>
    </row>
    <row r="88" spans="1:4">
      <c r="A88" s="96"/>
      <c r="B88" s="1"/>
      <c r="D88" s="97"/>
    </row>
    <row r="89" spans="1:4">
      <c r="A89" s="96"/>
      <c r="B89" s="1"/>
      <c r="D89" s="97"/>
    </row>
    <row r="90" spans="1:4">
      <c r="A90" s="96"/>
      <c r="B90" s="1"/>
      <c r="D90" s="97"/>
    </row>
    <row r="91" spans="1:4">
      <c r="A91" s="96"/>
      <c r="B91" s="1"/>
      <c r="D91" s="97"/>
    </row>
    <row r="92" spans="1:4">
      <c r="A92" s="96"/>
      <c r="B92" s="1"/>
      <c r="D92" s="97"/>
    </row>
    <row r="93" spans="1:4">
      <c r="A93" s="96"/>
      <c r="B93" s="1"/>
      <c r="D93" s="97"/>
    </row>
    <row r="94" spans="1:4">
      <c r="A94" s="96"/>
      <c r="B94" s="1"/>
      <c r="D94" s="97"/>
    </row>
    <row r="95" spans="1:4">
      <c r="A95" s="96"/>
      <c r="B95" s="1"/>
      <c r="D95" s="97"/>
    </row>
    <row r="96" spans="1:4">
      <c r="A96" s="96"/>
      <c r="B96" s="1"/>
      <c r="D96" s="97"/>
    </row>
    <row r="97" spans="1:4">
      <c r="A97" s="96"/>
      <c r="B97" s="1"/>
      <c r="D97" s="97"/>
    </row>
    <row r="98" spans="1:4">
      <c r="A98" s="96"/>
      <c r="B98" s="1"/>
      <c r="D98" s="97"/>
    </row>
    <row r="99" spans="1:4">
      <c r="A99" s="96"/>
      <c r="B99" s="1"/>
      <c r="D99" s="97"/>
    </row>
    <row r="100" spans="1:4">
      <c r="A100" s="96"/>
      <c r="B100" s="1"/>
      <c r="D100" s="97"/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5"/>
  <sheetViews>
    <sheetView topLeftCell="A109" zoomScale="130" zoomScaleNormal="130" workbookViewId="0">
      <selection activeCell="M81" sqref="M81"/>
    </sheetView>
  </sheetViews>
  <sheetFormatPr defaultColWidth="9" defaultRowHeight="13.5"/>
  <cols>
    <col min="2" max="2" width="5.5" customWidth="1"/>
    <col min="3" max="3" width="5.75" customWidth="1"/>
    <col min="4" max="4" width="40.25" customWidth="1"/>
    <col min="13" max="13" width="76.375" customWidth="1"/>
    <col min="14" max="14" width="19.375" style="2" customWidth="1"/>
  </cols>
  <sheetData>
    <row r="1" spans="1:18" ht="24">
      <c r="A1" s="3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5" t="s">
        <v>32</v>
      </c>
      <c r="I1" s="5" t="s">
        <v>33</v>
      </c>
      <c r="J1" s="5" t="s">
        <v>34</v>
      </c>
      <c r="K1" s="4" t="s">
        <v>35</v>
      </c>
      <c r="L1" s="4" t="s">
        <v>36</v>
      </c>
      <c r="M1" s="4" t="s">
        <v>37</v>
      </c>
      <c r="N1" s="16" t="s">
        <v>38</v>
      </c>
      <c r="O1" s="4" t="s">
        <v>39</v>
      </c>
      <c r="P1" s="4" t="s">
        <v>40</v>
      </c>
      <c r="Q1" t="s">
        <v>41</v>
      </c>
      <c r="R1">
        <f>SUM(L2:L681)</f>
        <v>2368</v>
      </c>
    </row>
    <row r="2" spans="1:18">
      <c r="A2" s="101" t="s">
        <v>42</v>
      </c>
      <c r="B2" s="11">
        <v>1</v>
      </c>
      <c r="C2" s="11"/>
      <c r="D2" s="45" t="s">
        <v>43</v>
      </c>
      <c r="E2" s="13" t="s">
        <v>44</v>
      </c>
      <c r="F2" s="14" t="s">
        <v>45</v>
      </c>
      <c r="G2" s="13" t="s">
        <v>46</v>
      </c>
      <c r="H2" s="14" t="s">
        <v>45</v>
      </c>
      <c r="I2" s="14" t="s">
        <v>45</v>
      </c>
      <c r="J2" s="14" t="s">
        <v>45</v>
      </c>
      <c r="K2" s="14" t="s">
        <v>45</v>
      </c>
      <c r="L2" s="21">
        <v>16</v>
      </c>
      <c r="M2" s="45" t="s">
        <v>47</v>
      </c>
      <c r="N2" s="54"/>
      <c r="O2" s="19"/>
      <c r="P2" s="19"/>
    </row>
    <row r="3" spans="1:18">
      <c r="A3" s="102"/>
      <c r="B3" s="11">
        <v>2</v>
      </c>
      <c r="C3" s="11"/>
      <c r="D3" s="45" t="s">
        <v>48</v>
      </c>
      <c r="E3" s="13" t="s">
        <v>44</v>
      </c>
      <c r="F3" s="14" t="s">
        <v>45</v>
      </c>
      <c r="G3" s="13" t="s">
        <v>46</v>
      </c>
      <c r="H3" s="14" t="s">
        <v>45</v>
      </c>
      <c r="I3" s="14" t="s">
        <v>45</v>
      </c>
      <c r="J3" s="14" t="s">
        <v>45</v>
      </c>
      <c r="K3" s="14" t="s">
        <v>45</v>
      </c>
      <c r="L3" s="21">
        <v>16</v>
      </c>
      <c r="M3" s="45" t="s">
        <v>49</v>
      </c>
      <c r="N3" s="54"/>
      <c r="O3" s="19"/>
      <c r="P3" s="19"/>
    </row>
    <row r="4" spans="1:18">
      <c r="A4" s="102"/>
      <c r="B4" s="11">
        <v>3</v>
      </c>
      <c r="C4" s="11"/>
      <c r="D4" s="45" t="s">
        <v>50</v>
      </c>
      <c r="E4" s="13" t="s">
        <v>44</v>
      </c>
      <c r="F4" s="14" t="s">
        <v>45</v>
      </c>
      <c r="G4" s="13" t="s">
        <v>46</v>
      </c>
      <c r="H4" s="14" t="s">
        <v>45</v>
      </c>
      <c r="I4" s="14" t="s">
        <v>45</v>
      </c>
      <c r="J4" s="14" t="s">
        <v>45</v>
      </c>
      <c r="K4" s="14" t="s">
        <v>45</v>
      </c>
      <c r="L4" s="21">
        <v>8</v>
      </c>
      <c r="M4" s="45"/>
      <c r="N4" s="54"/>
      <c r="O4" s="19"/>
      <c r="P4" s="19"/>
    </row>
    <row r="5" spans="1:18">
      <c r="A5" s="102"/>
      <c r="B5" s="11">
        <v>4</v>
      </c>
      <c r="C5" s="11"/>
      <c r="D5" s="45" t="s">
        <v>51</v>
      </c>
      <c r="E5" s="13" t="s">
        <v>44</v>
      </c>
      <c r="F5" s="14" t="s">
        <v>45</v>
      </c>
      <c r="G5" s="13" t="s">
        <v>46</v>
      </c>
      <c r="H5" s="14" t="s">
        <v>45</v>
      </c>
      <c r="I5" s="14" t="s">
        <v>45</v>
      </c>
      <c r="J5" s="14" t="s">
        <v>45</v>
      </c>
      <c r="K5" s="14" t="s">
        <v>45</v>
      </c>
      <c r="L5" s="21">
        <v>8</v>
      </c>
      <c r="M5" s="45" t="s">
        <v>52</v>
      </c>
      <c r="N5" s="54" t="s">
        <v>53</v>
      </c>
      <c r="O5" s="19"/>
      <c r="P5" s="19"/>
    </row>
    <row r="6" spans="1:18" ht="168">
      <c r="A6" s="102"/>
      <c r="B6" s="11">
        <v>5</v>
      </c>
      <c r="C6" s="11"/>
      <c r="D6" s="45" t="s">
        <v>54</v>
      </c>
      <c r="E6" s="13" t="s">
        <v>44</v>
      </c>
      <c r="F6" s="14" t="s">
        <v>45</v>
      </c>
      <c r="G6" s="13" t="s">
        <v>46</v>
      </c>
      <c r="H6" s="14" t="s">
        <v>45</v>
      </c>
      <c r="I6" s="14" t="s">
        <v>45</v>
      </c>
      <c r="J6" s="14" t="s">
        <v>45</v>
      </c>
      <c r="K6" s="14" t="s">
        <v>45</v>
      </c>
      <c r="L6" s="21">
        <v>8</v>
      </c>
      <c r="M6" s="45" t="s">
        <v>55</v>
      </c>
      <c r="N6" s="54" t="s">
        <v>56</v>
      </c>
      <c r="O6" s="19" t="s">
        <v>57</v>
      </c>
      <c r="P6" s="19"/>
    </row>
    <row r="7" spans="1:18">
      <c r="A7" s="102"/>
      <c r="B7" s="11">
        <v>6</v>
      </c>
      <c r="C7" s="11"/>
      <c r="D7" s="45" t="s">
        <v>58</v>
      </c>
      <c r="E7" s="13" t="s">
        <v>44</v>
      </c>
      <c r="F7" s="14" t="s">
        <v>45</v>
      </c>
      <c r="G7" s="13" t="s">
        <v>46</v>
      </c>
      <c r="H7" s="14" t="s">
        <v>45</v>
      </c>
      <c r="I7" s="14" t="s">
        <v>45</v>
      </c>
      <c r="J7" s="14" t="s">
        <v>45</v>
      </c>
      <c r="K7" s="14" t="s">
        <v>45</v>
      </c>
      <c r="L7" s="21">
        <v>8</v>
      </c>
      <c r="M7" s="45" t="s">
        <v>59</v>
      </c>
      <c r="N7" s="54" t="s">
        <v>56</v>
      </c>
      <c r="O7" s="19" t="s">
        <v>57</v>
      </c>
      <c r="P7" s="19"/>
    </row>
    <row r="8" spans="1:18">
      <c r="A8" s="102"/>
      <c r="B8" s="11">
        <v>7</v>
      </c>
      <c r="C8" s="11"/>
      <c r="D8" s="45" t="s">
        <v>60</v>
      </c>
      <c r="E8" s="13" t="s">
        <v>44</v>
      </c>
      <c r="F8" s="14" t="s">
        <v>45</v>
      </c>
      <c r="G8" s="13" t="s">
        <v>46</v>
      </c>
      <c r="H8" s="14" t="s">
        <v>45</v>
      </c>
      <c r="I8" s="14" t="s">
        <v>45</v>
      </c>
      <c r="J8" s="14" t="s">
        <v>45</v>
      </c>
      <c r="K8" s="14" t="s">
        <v>45</v>
      </c>
      <c r="L8" s="21">
        <v>8</v>
      </c>
      <c r="M8" s="45" t="s">
        <v>61</v>
      </c>
      <c r="N8" s="54" t="s">
        <v>56</v>
      </c>
      <c r="O8" s="19" t="s">
        <v>57</v>
      </c>
      <c r="P8" s="19"/>
    </row>
    <row r="9" spans="1:18" ht="84">
      <c r="A9" s="102"/>
      <c r="B9" s="11">
        <v>8</v>
      </c>
      <c r="C9" s="11"/>
      <c r="D9" s="45" t="s">
        <v>62</v>
      </c>
      <c r="E9" s="13" t="s">
        <v>44</v>
      </c>
      <c r="F9" s="14" t="s">
        <v>45</v>
      </c>
      <c r="G9" s="13" t="s">
        <v>46</v>
      </c>
      <c r="H9" s="14" t="s">
        <v>45</v>
      </c>
      <c r="I9" s="14" t="s">
        <v>45</v>
      </c>
      <c r="J9" s="14" t="s">
        <v>45</v>
      </c>
      <c r="K9" s="14" t="s">
        <v>45</v>
      </c>
      <c r="L9" s="21">
        <v>8</v>
      </c>
      <c r="M9" s="45" t="s">
        <v>63</v>
      </c>
      <c r="N9" s="54" t="s">
        <v>56</v>
      </c>
      <c r="O9" s="19" t="s">
        <v>57</v>
      </c>
      <c r="P9" s="19"/>
    </row>
    <row r="10" spans="1:18" ht="24">
      <c r="A10" s="102"/>
      <c r="B10" s="11">
        <v>9</v>
      </c>
      <c r="C10" s="11"/>
      <c r="D10" s="45" t="s">
        <v>64</v>
      </c>
      <c r="E10" s="13" t="s">
        <v>44</v>
      </c>
      <c r="F10" s="14" t="s">
        <v>45</v>
      </c>
      <c r="G10" s="13" t="s">
        <v>46</v>
      </c>
      <c r="H10" s="14" t="s">
        <v>45</v>
      </c>
      <c r="I10" s="14" t="s">
        <v>45</v>
      </c>
      <c r="J10" s="14" t="s">
        <v>45</v>
      </c>
      <c r="K10" s="14" t="s">
        <v>45</v>
      </c>
      <c r="L10" s="21">
        <v>1</v>
      </c>
      <c r="M10" s="45" t="s">
        <v>65</v>
      </c>
      <c r="N10" s="54" t="s">
        <v>56</v>
      </c>
      <c r="O10" s="19" t="s">
        <v>57</v>
      </c>
      <c r="P10" s="19"/>
    </row>
    <row r="11" spans="1:18" ht="24">
      <c r="A11" s="102"/>
      <c r="B11" s="11">
        <v>10</v>
      </c>
      <c r="C11" s="11"/>
      <c r="D11" s="45" t="s">
        <v>66</v>
      </c>
      <c r="E11" s="13" t="s">
        <v>44</v>
      </c>
      <c r="F11" s="14" t="s">
        <v>45</v>
      </c>
      <c r="G11" s="13" t="s">
        <v>46</v>
      </c>
      <c r="H11" s="14" t="s">
        <v>45</v>
      </c>
      <c r="I11" s="14" t="s">
        <v>45</v>
      </c>
      <c r="J11" s="14" t="s">
        <v>45</v>
      </c>
      <c r="K11" s="14" t="s">
        <v>45</v>
      </c>
      <c r="L11" s="21">
        <v>2</v>
      </c>
      <c r="M11" s="45" t="s">
        <v>67</v>
      </c>
      <c r="N11" s="54" t="s">
        <v>56</v>
      </c>
      <c r="O11" s="19" t="s">
        <v>57</v>
      </c>
      <c r="P11" s="19"/>
    </row>
    <row r="12" spans="1:18">
      <c r="A12" s="102"/>
      <c r="B12" s="11">
        <v>11</v>
      </c>
      <c r="C12" s="11"/>
      <c r="D12" s="22" t="s">
        <v>68</v>
      </c>
      <c r="E12" s="13" t="s">
        <v>44</v>
      </c>
      <c r="F12" s="14" t="s">
        <v>45</v>
      </c>
      <c r="G12" s="13" t="s">
        <v>46</v>
      </c>
      <c r="H12" s="14" t="s">
        <v>45</v>
      </c>
      <c r="I12" s="14" t="s">
        <v>45</v>
      </c>
      <c r="J12" s="14" t="s">
        <v>45</v>
      </c>
      <c r="K12" s="14" t="s">
        <v>45</v>
      </c>
      <c r="L12" s="21">
        <v>5</v>
      </c>
      <c r="M12" s="45" t="s">
        <v>69</v>
      </c>
      <c r="N12" s="54" t="s">
        <v>56</v>
      </c>
      <c r="O12" s="19" t="s">
        <v>57</v>
      </c>
      <c r="P12" s="19"/>
    </row>
    <row r="13" spans="1:18">
      <c r="A13" s="102"/>
      <c r="B13" s="11">
        <v>12</v>
      </c>
      <c r="C13" s="11"/>
      <c r="D13" s="22" t="s">
        <v>70</v>
      </c>
      <c r="E13" s="13" t="s">
        <v>44</v>
      </c>
      <c r="F13" s="14" t="s">
        <v>45</v>
      </c>
      <c r="G13" s="13" t="s">
        <v>46</v>
      </c>
      <c r="H13" s="14" t="s">
        <v>45</v>
      </c>
      <c r="I13" s="14" t="s">
        <v>45</v>
      </c>
      <c r="J13" s="14" t="s">
        <v>45</v>
      </c>
      <c r="K13" s="14" t="s">
        <v>45</v>
      </c>
      <c r="L13" s="21">
        <v>5</v>
      </c>
      <c r="M13" s="45" t="s">
        <v>69</v>
      </c>
      <c r="N13" s="54"/>
      <c r="O13" s="19"/>
      <c r="P13" s="19"/>
    </row>
    <row r="14" spans="1:18" ht="48">
      <c r="A14" s="102"/>
      <c r="B14" s="11">
        <v>13</v>
      </c>
      <c r="C14" s="11"/>
      <c r="D14" s="22" t="s">
        <v>71</v>
      </c>
      <c r="E14" s="13" t="s">
        <v>44</v>
      </c>
      <c r="F14" s="14" t="s">
        <v>45</v>
      </c>
      <c r="G14" s="13" t="s">
        <v>46</v>
      </c>
      <c r="H14" s="14" t="s">
        <v>45</v>
      </c>
      <c r="I14" s="14" t="s">
        <v>45</v>
      </c>
      <c r="J14" s="14" t="s">
        <v>45</v>
      </c>
      <c r="K14" s="14" t="s">
        <v>45</v>
      </c>
      <c r="L14" s="21">
        <v>3</v>
      </c>
      <c r="M14" s="45" t="s">
        <v>72</v>
      </c>
      <c r="N14" s="54"/>
      <c r="O14" s="19"/>
      <c r="P14" s="19"/>
    </row>
    <row r="15" spans="1:18">
      <c r="A15" s="102"/>
      <c r="B15" s="11">
        <v>14</v>
      </c>
      <c r="C15" s="11"/>
      <c r="D15" s="45" t="s">
        <v>73</v>
      </c>
      <c r="E15" s="13" t="s">
        <v>44</v>
      </c>
      <c r="F15" s="14" t="s">
        <v>45</v>
      </c>
      <c r="G15" s="13" t="s">
        <v>46</v>
      </c>
      <c r="H15" s="14" t="s">
        <v>45</v>
      </c>
      <c r="I15" s="14" t="s">
        <v>45</v>
      </c>
      <c r="J15" s="14" t="s">
        <v>45</v>
      </c>
      <c r="K15" s="14" t="s">
        <v>45</v>
      </c>
      <c r="L15" s="21">
        <v>16</v>
      </c>
      <c r="M15" s="45" t="s">
        <v>74</v>
      </c>
      <c r="N15" s="54" t="s">
        <v>56</v>
      </c>
      <c r="O15" s="19" t="s">
        <v>57</v>
      </c>
      <c r="P15" s="19"/>
    </row>
    <row r="16" spans="1:18">
      <c r="A16" s="102"/>
      <c r="B16" s="11">
        <v>15</v>
      </c>
      <c r="C16" s="11"/>
      <c r="D16" s="45" t="s">
        <v>75</v>
      </c>
      <c r="E16" s="13" t="s">
        <v>44</v>
      </c>
      <c r="F16" s="14" t="s">
        <v>45</v>
      </c>
      <c r="G16" s="13" t="s">
        <v>46</v>
      </c>
      <c r="H16" s="14" t="s">
        <v>45</v>
      </c>
      <c r="I16" s="14" t="s">
        <v>45</v>
      </c>
      <c r="J16" s="14" t="s">
        <v>45</v>
      </c>
      <c r="K16" s="14" t="s">
        <v>45</v>
      </c>
      <c r="L16" s="21">
        <v>16</v>
      </c>
      <c r="M16" s="45" t="s">
        <v>76</v>
      </c>
      <c r="N16" s="54" t="s">
        <v>56</v>
      </c>
      <c r="O16" s="19" t="s">
        <v>57</v>
      </c>
      <c r="P16" s="19"/>
    </row>
    <row r="17" spans="1:16" ht="36">
      <c r="A17" s="102"/>
      <c r="B17" s="11">
        <v>16</v>
      </c>
      <c r="C17" s="11"/>
      <c r="D17" s="45" t="s">
        <v>77</v>
      </c>
      <c r="E17" s="13" t="s">
        <v>44</v>
      </c>
      <c r="F17" s="70" t="s">
        <v>45</v>
      </c>
      <c r="G17" s="13" t="s">
        <v>46</v>
      </c>
      <c r="H17" s="70" t="s">
        <v>45</v>
      </c>
      <c r="I17" s="70" t="s">
        <v>45</v>
      </c>
      <c r="J17" s="79" t="s">
        <v>45</v>
      </c>
      <c r="K17" s="70" t="s">
        <v>45</v>
      </c>
      <c r="L17" s="21">
        <v>8</v>
      </c>
      <c r="M17" s="22" t="s">
        <v>78</v>
      </c>
      <c r="N17" s="54"/>
      <c r="O17" s="19"/>
      <c r="P17" s="19"/>
    </row>
    <row r="18" spans="1:16" ht="36">
      <c r="A18" s="102"/>
      <c r="B18" s="11">
        <v>17</v>
      </c>
      <c r="C18" s="11"/>
      <c r="D18" s="45" t="s">
        <v>79</v>
      </c>
      <c r="E18" s="13" t="s">
        <v>44</v>
      </c>
      <c r="F18" s="70" t="s">
        <v>45</v>
      </c>
      <c r="G18" s="13" t="s">
        <v>46</v>
      </c>
      <c r="H18" s="70" t="s">
        <v>45</v>
      </c>
      <c r="I18" s="70" t="s">
        <v>45</v>
      </c>
      <c r="J18" s="79" t="s">
        <v>45</v>
      </c>
      <c r="K18" s="70" t="s">
        <v>45</v>
      </c>
      <c r="L18" s="21">
        <v>8</v>
      </c>
      <c r="M18" s="22" t="s">
        <v>80</v>
      </c>
      <c r="N18" s="54"/>
      <c r="O18" s="19"/>
      <c r="P18" s="19"/>
    </row>
    <row r="19" spans="1:16" ht="48">
      <c r="A19" s="102"/>
      <c r="B19" s="11">
        <v>18</v>
      </c>
      <c r="C19" s="11"/>
      <c r="D19" s="45" t="s">
        <v>81</v>
      </c>
      <c r="E19" s="13" t="s">
        <v>44</v>
      </c>
      <c r="F19" s="70" t="s">
        <v>45</v>
      </c>
      <c r="G19" s="13" t="s">
        <v>46</v>
      </c>
      <c r="H19" s="70" t="s">
        <v>45</v>
      </c>
      <c r="I19" s="70" t="s">
        <v>45</v>
      </c>
      <c r="J19" s="79" t="s">
        <v>45</v>
      </c>
      <c r="K19" s="70" t="s">
        <v>45</v>
      </c>
      <c r="L19" s="21">
        <v>8</v>
      </c>
      <c r="M19" s="22" t="s">
        <v>82</v>
      </c>
      <c r="N19" s="54"/>
      <c r="O19" s="19"/>
      <c r="P19" s="19"/>
    </row>
    <row r="20" spans="1:16" ht="48">
      <c r="A20" s="102"/>
      <c r="B20" s="11">
        <v>19</v>
      </c>
      <c r="C20" s="11"/>
      <c r="D20" s="45" t="s">
        <v>83</v>
      </c>
      <c r="E20" s="13" t="s">
        <v>44</v>
      </c>
      <c r="F20" s="70" t="s">
        <v>45</v>
      </c>
      <c r="G20" s="13" t="s">
        <v>46</v>
      </c>
      <c r="H20" s="70" t="s">
        <v>45</v>
      </c>
      <c r="I20" s="70" t="s">
        <v>45</v>
      </c>
      <c r="J20" s="79" t="s">
        <v>45</v>
      </c>
      <c r="K20" s="70" t="s">
        <v>45</v>
      </c>
      <c r="L20" s="21">
        <v>8</v>
      </c>
      <c r="M20" s="22" t="s">
        <v>84</v>
      </c>
      <c r="N20" s="54"/>
      <c r="O20" s="19"/>
      <c r="P20" s="19"/>
    </row>
    <row r="21" spans="1:16" ht="48">
      <c r="A21" s="102"/>
      <c r="B21" s="11">
        <v>20</v>
      </c>
      <c r="C21" s="11"/>
      <c r="D21" s="45" t="s">
        <v>85</v>
      </c>
      <c r="E21" s="13" t="s">
        <v>44</v>
      </c>
      <c r="F21" s="70" t="s">
        <v>45</v>
      </c>
      <c r="G21" s="13" t="s">
        <v>46</v>
      </c>
      <c r="H21" s="70" t="s">
        <v>45</v>
      </c>
      <c r="I21" s="70" t="s">
        <v>45</v>
      </c>
      <c r="J21" s="79" t="s">
        <v>45</v>
      </c>
      <c r="K21" s="70" t="s">
        <v>45</v>
      </c>
      <c r="L21" s="21">
        <v>1</v>
      </c>
      <c r="M21" s="22" t="s">
        <v>86</v>
      </c>
      <c r="N21" s="54"/>
      <c r="O21" s="19"/>
      <c r="P21" s="19"/>
    </row>
    <row r="22" spans="1:16" ht="48">
      <c r="A22" s="102"/>
      <c r="B22" s="11">
        <v>21</v>
      </c>
      <c r="C22" s="11"/>
      <c r="D22" s="45" t="s">
        <v>87</v>
      </c>
      <c r="E22" s="13" t="s">
        <v>44</v>
      </c>
      <c r="F22" s="70" t="s">
        <v>45</v>
      </c>
      <c r="G22" s="13" t="s">
        <v>46</v>
      </c>
      <c r="H22" s="70" t="s">
        <v>45</v>
      </c>
      <c r="I22" s="70" t="s">
        <v>45</v>
      </c>
      <c r="J22" s="79" t="s">
        <v>45</v>
      </c>
      <c r="K22" s="70" t="s">
        <v>45</v>
      </c>
      <c r="L22" s="21">
        <v>1</v>
      </c>
      <c r="M22" s="22" t="s">
        <v>88</v>
      </c>
      <c r="N22" s="54"/>
      <c r="O22" s="19"/>
      <c r="P22" s="19"/>
    </row>
    <row r="23" spans="1:16" ht="48">
      <c r="A23" s="102"/>
      <c r="B23" s="11">
        <v>22</v>
      </c>
      <c r="C23" s="11"/>
      <c r="D23" s="45" t="s">
        <v>89</v>
      </c>
      <c r="E23" s="13" t="s">
        <v>44</v>
      </c>
      <c r="F23" s="70" t="s">
        <v>45</v>
      </c>
      <c r="G23" s="13" t="s">
        <v>46</v>
      </c>
      <c r="H23" s="70" t="s">
        <v>45</v>
      </c>
      <c r="I23" s="70" t="s">
        <v>45</v>
      </c>
      <c r="J23" s="79" t="s">
        <v>45</v>
      </c>
      <c r="K23" s="70" t="s">
        <v>45</v>
      </c>
      <c r="L23" s="21">
        <v>1</v>
      </c>
      <c r="M23" s="22" t="s">
        <v>90</v>
      </c>
      <c r="N23" s="54"/>
      <c r="O23" s="19"/>
      <c r="P23" s="19"/>
    </row>
    <row r="24" spans="1:16" ht="48">
      <c r="A24" s="102"/>
      <c r="B24" s="11">
        <v>23</v>
      </c>
      <c r="C24" s="11"/>
      <c r="D24" s="45" t="s">
        <v>91</v>
      </c>
      <c r="E24" s="13" t="s">
        <v>44</v>
      </c>
      <c r="F24" s="70" t="s">
        <v>45</v>
      </c>
      <c r="G24" s="13" t="s">
        <v>46</v>
      </c>
      <c r="H24" s="70" t="s">
        <v>45</v>
      </c>
      <c r="I24" s="70" t="s">
        <v>45</v>
      </c>
      <c r="J24" s="79" t="s">
        <v>45</v>
      </c>
      <c r="K24" s="70" t="s">
        <v>45</v>
      </c>
      <c r="L24" s="21">
        <v>1</v>
      </c>
      <c r="M24" s="22" t="s">
        <v>92</v>
      </c>
      <c r="N24" s="54"/>
      <c r="O24" s="19"/>
      <c r="P24" s="19"/>
    </row>
    <row r="25" spans="1:16" ht="48">
      <c r="A25" s="102"/>
      <c r="B25" s="11">
        <v>24</v>
      </c>
      <c r="C25" s="11"/>
      <c r="D25" s="45" t="s">
        <v>93</v>
      </c>
      <c r="E25" s="13" t="s">
        <v>44</v>
      </c>
      <c r="F25" s="70" t="s">
        <v>45</v>
      </c>
      <c r="G25" s="13" t="s">
        <v>46</v>
      </c>
      <c r="H25" s="70" t="s">
        <v>45</v>
      </c>
      <c r="I25" s="70" t="s">
        <v>45</v>
      </c>
      <c r="J25" s="79" t="s">
        <v>45</v>
      </c>
      <c r="K25" s="70" t="s">
        <v>45</v>
      </c>
      <c r="L25" s="21">
        <v>2</v>
      </c>
      <c r="M25" s="22" t="s">
        <v>94</v>
      </c>
      <c r="N25" s="54"/>
      <c r="O25" s="19"/>
      <c r="P25" s="19"/>
    </row>
    <row r="26" spans="1:16" ht="48">
      <c r="A26" s="102"/>
      <c r="B26" s="11">
        <v>25</v>
      </c>
      <c r="C26" s="11"/>
      <c r="D26" s="45" t="s">
        <v>95</v>
      </c>
      <c r="E26" s="13" t="s">
        <v>44</v>
      </c>
      <c r="F26" s="70" t="s">
        <v>45</v>
      </c>
      <c r="G26" s="13" t="s">
        <v>46</v>
      </c>
      <c r="H26" s="70" t="s">
        <v>45</v>
      </c>
      <c r="I26" s="70" t="s">
        <v>45</v>
      </c>
      <c r="J26" s="79" t="s">
        <v>45</v>
      </c>
      <c r="K26" s="70" t="s">
        <v>45</v>
      </c>
      <c r="L26" s="21">
        <v>2</v>
      </c>
      <c r="M26" s="22" t="s">
        <v>96</v>
      </c>
      <c r="N26" s="54"/>
      <c r="O26" s="19"/>
      <c r="P26" s="19"/>
    </row>
    <row r="27" spans="1:16" ht="36">
      <c r="A27" s="102"/>
      <c r="B27" s="11">
        <v>26</v>
      </c>
      <c r="C27" s="11"/>
      <c r="D27" s="45" t="s">
        <v>97</v>
      </c>
      <c r="E27" s="13" t="s">
        <v>44</v>
      </c>
      <c r="F27" s="70" t="s">
        <v>45</v>
      </c>
      <c r="G27" s="13" t="s">
        <v>46</v>
      </c>
      <c r="H27" s="70" t="s">
        <v>45</v>
      </c>
      <c r="I27" s="70" t="s">
        <v>45</v>
      </c>
      <c r="J27" s="79" t="s">
        <v>45</v>
      </c>
      <c r="K27" s="70" t="s">
        <v>45</v>
      </c>
      <c r="L27" s="21">
        <v>8</v>
      </c>
      <c r="M27" s="22" t="s">
        <v>98</v>
      </c>
      <c r="N27" s="54"/>
      <c r="O27" s="19"/>
      <c r="P27" s="19"/>
    </row>
    <row r="28" spans="1:16" ht="36">
      <c r="A28" s="102"/>
      <c r="B28" s="11">
        <v>27</v>
      </c>
      <c r="C28" s="11"/>
      <c r="D28" s="45" t="s">
        <v>99</v>
      </c>
      <c r="E28" s="13" t="s">
        <v>44</v>
      </c>
      <c r="F28" s="70" t="s">
        <v>45</v>
      </c>
      <c r="G28" s="13" t="s">
        <v>46</v>
      </c>
      <c r="H28" s="70" t="s">
        <v>45</v>
      </c>
      <c r="I28" s="70" t="s">
        <v>45</v>
      </c>
      <c r="J28" s="79" t="s">
        <v>45</v>
      </c>
      <c r="K28" s="70" t="s">
        <v>45</v>
      </c>
      <c r="L28" s="21">
        <v>8</v>
      </c>
      <c r="M28" s="22" t="s">
        <v>100</v>
      </c>
      <c r="N28" s="54"/>
      <c r="O28" s="19"/>
      <c r="P28" s="19"/>
    </row>
    <row r="29" spans="1:16" ht="48">
      <c r="A29" s="102"/>
      <c r="B29" s="11">
        <v>28</v>
      </c>
      <c r="C29" s="11"/>
      <c r="D29" s="45" t="s">
        <v>101</v>
      </c>
      <c r="E29" s="13" t="s">
        <v>44</v>
      </c>
      <c r="F29" s="70" t="s">
        <v>45</v>
      </c>
      <c r="G29" s="13" t="s">
        <v>46</v>
      </c>
      <c r="H29" s="70" t="s">
        <v>45</v>
      </c>
      <c r="I29" s="70" t="s">
        <v>45</v>
      </c>
      <c r="J29" s="79" t="s">
        <v>45</v>
      </c>
      <c r="K29" s="70" t="s">
        <v>45</v>
      </c>
      <c r="L29" s="21">
        <v>8</v>
      </c>
      <c r="M29" s="22" t="s">
        <v>102</v>
      </c>
      <c r="N29" s="54"/>
      <c r="O29" s="19"/>
      <c r="P29" s="19"/>
    </row>
    <row r="30" spans="1:16" ht="48">
      <c r="A30" s="102"/>
      <c r="B30" s="11">
        <v>29</v>
      </c>
      <c r="C30" s="11"/>
      <c r="D30" s="45" t="s">
        <v>103</v>
      </c>
      <c r="E30" s="13" t="s">
        <v>44</v>
      </c>
      <c r="F30" s="70" t="s">
        <v>45</v>
      </c>
      <c r="G30" s="13" t="s">
        <v>46</v>
      </c>
      <c r="H30" s="70" t="s">
        <v>45</v>
      </c>
      <c r="I30" s="70" t="s">
        <v>45</v>
      </c>
      <c r="J30" s="79" t="s">
        <v>45</v>
      </c>
      <c r="K30" s="70" t="s">
        <v>45</v>
      </c>
      <c r="L30" s="21">
        <v>8</v>
      </c>
      <c r="M30" s="22" t="s">
        <v>104</v>
      </c>
      <c r="N30" s="54"/>
      <c r="O30" s="19"/>
      <c r="P30" s="19"/>
    </row>
    <row r="31" spans="1:16">
      <c r="A31" s="103" t="s">
        <v>105</v>
      </c>
      <c r="B31" s="71">
        <v>30</v>
      </c>
      <c r="C31" s="72"/>
      <c r="D31" s="73" t="s">
        <v>106</v>
      </c>
      <c r="E31" s="73" t="s">
        <v>44</v>
      </c>
      <c r="F31" s="74" t="s">
        <v>45</v>
      </c>
      <c r="G31" s="75" t="s">
        <v>46</v>
      </c>
      <c r="H31" s="74" t="s">
        <v>45</v>
      </c>
      <c r="I31" s="74" t="s">
        <v>45</v>
      </c>
      <c r="J31" s="74" t="s">
        <v>45</v>
      </c>
      <c r="K31" s="74" t="s">
        <v>45</v>
      </c>
      <c r="L31" s="80">
        <v>16</v>
      </c>
      <c r="M31" s="73">
        <v>1100</v>
      </c>
      <c r="N31" s="54"/>
      <c r="O31" s="19"/>
      <c r="P31" s="19"/>
    </row>
    <row r="32" spans="1:16">
      <c r="A32" s="104"/>
      <c r="B32" s="71">
        <v>31</v>
      </c>
      <c r="C32" s="72"/>
      <c r="D32" s="72" t="s">
        <v>48</v>
      </c>
      <c r="E32" s="72" t="s">
        <v>44</v>
      </c>
      <c r="F32" s="76" t="s">
        <v>45</v>
      </c>
      <c r="G32" s="77" t="s">
        <v>46</v>
      </c>
      <c r="H32" s="76" t="s">
        <v>45</v>
      </c>
      <c r="I32" s="76" t="s">
        <v>45</v>
      </c>
      <c r="J32" s="76" t="s">
        <v>45</v>
      </c>
      <c r="K32" s="76" t="s">
        <v>45</v>
      </c>
      <c r="L32" s="81">
        <v>16</v>
      </c>
      <c r="M32" s="72" t="s">
        <v>107</v>
      </c>
      <c r="N32" s="54"/>
      <c r="O32" s="19" t="s">
        <v>108</v>
      </c>
      <c r="P32" s="19"/>
    </row>
    <row r="33" spans="1:16">
      <c r="A33" s="104"/>
      <c r="B33" s="71">
        <v>32</v>
      </c>
      <c r="C33" s="72"/>
      <c r="D33" s="72" t="s">
        <v>109</v>
      </c>
      <c r="E33" s="72" t="s">
        <v>44</v>
      </c>
      <c r="F33" s="76" t="s">
        <v>45</v>
      </c>
      <c r="G33" s="77" t="s">
        <v>46</v>
      </c>
      <c r="H33" s="76" t="s">
        <v>45</v>
      </c>
      <c r="I33" s="76" t="s">
        <v>45</v>
      </c>
      <c r="J33" s="76" t="s">
        <v>45</v>
      </c>
      <c r="K33" s="76" t="s">
        <v>45</v>
      </c>
      <c r="L33" s="81">
        <v>8</v>
      </c>
      <c r="M33" s="72"/>
      <c r="N33" s="54"/>
      <c r="O33" s="19" t="s">
        <v>108</v>
      </c>
      <c r="P33" s="19"/>
    </row>
    <row r="34" spans="1:16">
      <c r="A34" s="104"/>
      <c r="B34" s="71">
        <v>33</v>
      </c>
      <c r="C34" s="72"/>
      <c r="D34" s="72" t="s">
        <v>110</v>
      </c>
      <c r="E34" s="72" t="s">
        <v>111</v>
      </c>
      <c r="F34" s="76" t="s">
        <v>45</v>
      </c>
      <c r="G34" s="77" t="s">
        <v>46</v>
      </c>
      <c r="H34" s="76" t="s">
        <v>45</v>
      </c>
      <c r="I34" s="76" t="s">
        <v>45</v>
      </c>
      <c r="J34" s="76" t="s">
        <v>45</v>
      </c>
      <c r="K34" s="76" t="s">
        <v>45</v>
      </c>
      <c r="L34" s="81">
        <v>32</v>
      </c>
      <c r="M34" s="72" t="s">
        <v>112</v>
      </c>
      <c r="N34" s="54"/>
      <c r="O34" s="19" t="s">
        <v>108</v>
      </c>
      <c r="P34" s="19"/>
    </row>
    <row r="35" spans="1:16">
      <c r="A35" s="104"/>
      <c r="B35" s="71">
        <v>34</v>
      </c>
      <c r="C35" s="72"/>
      <c r="D35" s="72" t="s">
        <v>113</v>
      </c>
      <c r="E35" s="72" t="s">
        <v>111</v>
      </c>
      <c r="F35" s="76" t="s">
        <v>45</v>
      </c>
      <c r="G35" s="77" t="s">
        <v>46</v>
      </c>
      <c r="H35" s="76" t="s">
        <v>45</v>
      </c>
      <c r="I35" s="76" t="s">
        <v>45</v>
      </c>
      <c r="J35" s="76" t="s">
        <v>45</v>
      </c>
      <c r="K35" s="76" t="s">
        <v>45</v>
      </c>
      <c r="L35" s="81">
        <v>32</v>
      </c>
      <c r="M35" s="72" t="s">
        <v>114</v>
      </c>
      <c r="N35" s="54"/>
      <c r="O35" s="19" t="s">
        <v>108</v>
      </c>
      <c r="P35" s="19"/>
    </row>
    <row r="36" spans="1:16">
      <c r="A36" s="104"/>
      <c r="B36" s="71">
        <v>35</v>
      </c>
      <c r="C36" s="72"/>
      <c r="D36" s="72" t="s">
        <v>115</v>
      </c>
      <c r="E36" s="72" t="s">
        <v>44</v>
      </c>
      <c r="F36" s="76" t="s">
        <v>45</v>
      </c>
      <c r="G36" s="77" t="s">
        <v>46</v>
      </c>
      <c r="H36" s="76" t="s">
        <v>45</v>
      </c>
      <c r="I36" s="76" t="s">
        <v>45</v>
      </c>
      <c r="J36" s="76" t="s">
        <v>45</v>
      </c>
      <c r="K36" s="76" t="s">
        <v>45</v>
      </c>
      <c r="L36" s="81">
        <v>16</v>
      </c>
      <c r="M36" s="72" t="s">
        <v>116</v>
      </c>
      <c r="N36" s="54"/>
      <c r="O36" s="19" t="s">
        <v>108</v>
      </c>
      <c r="P36" s="19"/>
    </row>
    <row r="37" spans="1:16">
      <c r="A37" s="104"/>
      <c r="B37" s="71">
        <v>36</v>
      </c>
      <c r="C37" s="72"/>
      <c r="D37" s="72" t="s">
        <v>117</v>
      </c>
      <c r="E37" s="72" t="s">
        <v>44</v>
      </c>
      <c r="F37" s="76" t="s">
        <v>45</v>
      </c>
      <c r="G37" s="77" t="s">
        <v>46</v>
      </c>
      <c r="H37" s="76" t="s">
        <v>45</v>
      </c>
      <c r="I37" s="76" t="s">
        <v>45</v>
      </c>
      <c r="J37" s="76" t="s">
        <v>45</v>
      </c>
      <c r="K37" s="76" t="s">
        <v>45</v>
      </c>
      <c r="L37" s="81">
        <v>16</v>
      </c>
      <c r="M37" s="72" t="s">
        <v>118</v>
      </c>
      <c r="N37" s="54"/>
      <c r="O37" s="19" t="s">
        <v>108</v>
      </c>
      <c r="P37" s="19"/>
    </row>
    <row r="38" spans="1:16">
      <c r="A38" s="104"/>
      <c r="B38" s="71">
        <v>37</v>
      </c>
      <c r="C38" s="72"/>
      <c r="D38" s="72" t="s">
        <v>119</v>
      </c>
      <c r="E38" s="72" t="s">
        <v>111</v>
      </c>
      <c r="F38" s="76" t="s">
        <v>45</v>
      </c>
      <c r="G38" s="77" t="s">
        <v>46</v>
      </c>
      <c r="H38" s="76" t="s">
        <v>45</v>
      </c>
      <c r="I38" s="76" t="s">
        <v>45</v>
      </c>
      <c r="J38" s="76" t="s">
        <v>45</v>
      </c>
      <c r="K38" s="76" t="s">
        <v>45</v>
      </c>
      <c r="L38" s="81">
        <v>32</v>
      </c>
      <c r="M38" s="72" t="s">
        <v>112</v>
      </c>
      <c r="N38" s="54"/>
      <c r="O38" s="19" t="s">
        <v>108</v>
      </c>
      <c r="P38" s="19"/>
    </row>
    <row r="39" spans="1:16">
      <c r="A39" s="104"/>
      <c r="B39" s="71">
        <v>38</v>
      </c>
      <c r="C39" s="72"/>
      <c r="D39" s="72" t="s">
        <v>120</v>
      </c>
      <c r="E39" s="72" t="s">
        <v>111</v>
      </c>
      <c r="F39" s="76" t="s">
        <v>45</v>
      </c>
      <c r="G39" s="77" t="s">
        <v>46</v>
      </c>
      <c r="H39" s="76" t="s">
        <v>45</v>
      </c>
      <c r="I39" s="76" t="s">
        <v>45</v>
      </c>
      <c r="J39" s="76" t="s">
        <v>45</v>
      </c>
      <c r="K39" s="76" t="s">
        <v>45</v>
      </c>
      <c r="L39" s="81">
        <v>32</v>
      </c>
      <c r="M39" s="72" t="s">
        <v>114</v>
      </c>
      <c r="N39" s="54"/>
      <c r="O39" s="19" t="s">
        <v>108</v>
      </c>
      <c r="P39" s="19"/>
    </row>
    <row r="40" spans="1:16">
      <c r="A40" s="104"/>
      <c r="B40" s="71">
        <v>39</v>
      </c>
      <c r="C40" s="72"/>
      <c r="D40" s="72" t="s">
        <v>121</v>
      </c>
      <c r="E40" s="72" t="s">
        <v>44</v>
      </c>
      <c r="F40" s="76" t="s">
        <v>45</v>
      </c>
      <c r="G40" s="77" t="s">
        <v>46</v>
      </c>
      <c r="H40" s="76" t="s">
        <v>45</v>
      </c>
      <c r="I40" s="76" t="s">
        <v>45</v>
      </c>
      <c r="J40" s="76" t="s">
        <v>45</v>
      </c>
      <c r="K40" s="76" t="s">
        <v>45</v>
      </c>
      <c r="L40" s="81">
        <v>16</v>
      </c>
      <c r="M40" s="72" t="s">
        <v>116</v>
      </c>
      <c r="N40" s="54"/>
      <c r="O40" s="19" t="s">
        <v>108</v>
      </c>
      <c r="P40" s="19"/>
    </row>
    <row r="41" spans="1:16">
      <c r="A41" s="104"/>
      <c r="B41" s="71">
        <v>40</v>
      </c>
      <c r="C41" s="72"/>
      <c r="D41" s="72" t="s">
        <v>122</v>
      </c>
      <c r="E41" s="72" t="s">
        <v>44</v>
      </c>
      <c r="F41" s="76" t="s">
        <v>45</v>
      </c>
      <c r="G41" s="77" t="s">
        <v>46</v>
      </c>
      <c r="H41" s="76" t="s">
        <v>45</v>
      </c>
      <c r="I41" s="76" t="s">
        <v>45</v>
      </c>
      <c r="J41" s="76" t="s">
        <v>45</v>
      </c>
      <c r="K41" s="76" t="s">
        <v>45</v>
      </c>
      <c r="L41" s="81">
        <v>16</v>
      </c>
      <c r="M41" s="72" t="s">
        <v>118</v>
      </c>
      <c r="N41" s="54"/>
      <c r="O41" s="19" t="s">
        <v>108</v>
      </c>
      <c r="P41" s="19"/>
    </row>
    <row r="42" spans="1:16">
      <c r="A42" s="104"/>
      <c r="B42" s="71">
        <v>41</v>
      </c>
      <c r="C42" s="72"/>
      <c r="D42" s="72" t="s">
        <v>123</v>
      </c>
      <c r="E42" s="72" t="s">
        <v>111</v>
      </c>
      <c r="F42" s="76" t="s">
        <v>45</v>
      </c>
      <c r="G42" s="77" t="s">
        <v>46</v>
      </c>
      <c r="H42" s="76" t="s">
        <v>45</v>
      </c>
      <c r="I42" s="76" t="s">
        <v>45</v>
      </c>
      <c r="J42" s="76" t="s">
        <v>45</v>
      </c>
      <c r="K42" s="76" t="s">
        <v>45</v>
      </c>
      <c r="L42" s="81">
        <v>32</v>
      </c>
      <c r="M42" s="72" t="s">
        <v>112</v>
      </c>
      <c r="N42" s="54"/>
      <c r="O42" s="19" t="s">
        <v>108</v>
      </c>
      <c r="P42" s="19"/>
    </row>
    <row r="43" spans="1:16">
      <c r="A43" s="104"/>
      <c r="B43" s="71">
        <v>42</v>
      </c>
      <c r="C43" s="72"/>
      <c r="D43" s="72" t="s">
        <v>120</v>
      </c>
      <c r="E43" s="72" t="s">
        <v>111</v>
      </c>
      <c r="F43" s="76" t="s">
        <v>45</v>
      </c>
      <c r="G43" s="77" t="s">
        <v>46</v>
      </c>
      <c r="H43" s="76" t="s">
        <v>45</v>
      </c>
      <c r="I43" s="76" t="s">
        <v>45</v>
      </c>
      <c r="J43" s="76" t="s">
        <v>45</v>
      </c>
      <c r="K43" s="76" t="s">
        <v>45</v>
      </c>
      <c r="L43" s="81">
        <v>32</v>
      </c>
      <c r="M43" s="72" t="s">
        <v>114</v>
      </c>
      <c r="N43" s="54"/>
      <c r="O43" s="19" t="s">
        <v>108</v>
      </c>
      <c r="P43" s="19"/>
    </row>
    <row r="44" spans="1:16">
      <c r="A44" s="104"/>
      <c r="B44" s="71">
        <v>43</v>
      </c>
      <c r="C44" s="72"/>
      <c r="D44" s="72" t="s">
        <v>124</v>
      </c>
      <c r="E44" s="72" t="s">
        <v>44</v>
      </c>
      <c r="F44" s="76" t="s">
        <v>45</v>
      </c>
      <c r="G44" s="77" t="s">
        <v>46</v>
      </c>
      <c r="H44" s="76" t="s">
        <v>45</v>
      </c>
      <c r="I44" s="76" t="s">
        <v>45</v>
      </c>
      <c r="J44" s="76" t="s">
        <v>45</v>
      </c>
      <c r="K44" s="76" t="s">
        <v>45</v>
      </c>
      <c r="L44" s="81">
        <v>16</v>
      </c>
      <c r="M44" s="72" t="s">
        <v>116</v>
      </c>
      <c r="N44" s="54"/>
      <c r="O44" s="19" t="s">
        <v>108</v>
      </c>
      <c r="P44" s="19"/>
    </row>
    <row r="45" spans="1:16">
      <c r="A45" s="104"/>
      <c r="B45" s="71">
        <v>44</v>
      </c>
      <c r="C45" s="72"/>
      <c r="D45" s="72" t="s">
        <v>125</v>
      </c>
      <c r="E45" s="72" t="s">
        <v>44</v>
      </c>
      <c r="F45" s="76" t="s">
        <v>45</v>
      </c>
      <c r="G45" s="77" t="s">
        <v>46</v>
      </c>
      <c r="H45" s="76" t="s">
        <v>45</v>
      </c>
      <c r="I45" s="76" t="s">
        <v>45</v>
      </c>
      <c r="J45" s="76" t="s">
        <v>45</v>
      </c>
      <c r="K45" s="76" t="s">
        <v>45</v>
      </c>
      <c r="L45" s="81">
        <v>16</v>
      </c>
      <c r="M45" s="72" t="s">
        <v>118</v>
      </c>
      <c r="N45" s="54"/>
      <c r="O45" s="19" t="s">
        <v>108</v>
      </c>
      <c r="P45" s="19"/>
    </row>
    <row r="46" spans="1:16" ht="48">
      <c r="A46" s="104"/>
      <c r="B46" s="71">
        <v>45</v>
      </c>
      <c r="C46" s="72"/>
      <c r="D46" s="72" t="s">
        <v>126</v>
      </c>
      <c r="E46" s="72" t="s">
        <v>44</v>
      </c>
      <c r="F46" s="77" t="s">
        <v>45</v>
      </c>
      <c r="G46" s="77" t="s">
        <v>46</v>
      </c>
      <c r="H46" s="77" t="s">
        <v>45</v>
      </c>
      <c r="I46" s="77" t="s">
        <v>45</v>
      </c>
      <c r="J46" s="77" t="s">
        <v>45</v>
      </c>
      <c r="K46" s="77" t="s">
        <v>45</v>
      </c>
      <c r="L46" s="81">
        <v>8</v>
      </c>
      <c r="M46" s="72" t="s">
        <v>127</v>
      </c>
      <c r="N46" s="54"/>
      <c r="O46" s="19"/>
      <c r="P46" s="19"/>
    </row>
    <row r="47" spans="1:16" ht="48">
      <c r="A47" s="104"/>
      <c r="B47" s="71">
        <v>46</v>
      </c>
      <c r="C47" s="72"/>
      <c r="D47" s="72" t="s">
        <v>128</v>
      </c>
      <c r="E47" s="72" t="s">
        <v>44</v>
      </c>
      <c r="F47" s="77" t="s">
        <v>45</v>
      </c>
      <c r="G47" s="77" t="s">
        <v>46</v>
      </c>
      <c r="H47" s="77" t="s">
        <v>45</v>
      </c>
      <c r="I47" s="77" t="s">
        <v>45</v>
      </c>
      <c r="J47" s="77" t="s">
        <v>45</v>
      </c>
      <c r="K47" s="77" t="s">
        <v>45</v>
      </c>
      <c r="L47" s="81">
        <v>8</v>
      </c>
      <c r="M47" s="72" t="s">
        <v>129</v>
      </c>
      <c r="N47" s="54"/>
      <c r="O47" s="19"/>
      <c r="P47" s="19"/>
    </row>
    <row r="48" spans="1:16" ht="60">
      <c r="A48" s="105"/>
      <c r="B48" s="71">
        <v>47</v>
      </c>
      <c r="C48" s="72"/>
      <c r="D48" s="72" t="s">
        <v>130</v>
      </c>
      <c r="E48" s="72" t="s">
        <v>44</v>
      </c>
      <c r="F48" s="77" t="s">
        <v>45</v>
      </c>
      <c r="G48" s="77" t="s">
        <v>46</v>
      </c>
      <c r="H48" s="77" t="s">
        <v>45</v>
      </c>
      <c r="I48" s="77" t="s">
        <v>45</v>
      </c>
      <c r="J48" s="77" t="s">
        <v>45</v>
      </c>
      <c r="K48" s="77" t="s">
        <v>45</v>
      </c>
      <c r="L48" s="81">
        <v>8</v>
      </c>
      <c r="M48" s="72" t="s">
        <v>131</v>
      </c>
      <c r="N48" s="54"/>
      <c r="O48" s="19" t="s">
        <v>108</v>
      </c>
      <c r="P48" s="19"/>
    </row>
    <row r="49" spans="1:16">
      <c r="A49" s="106" t="s">
        <v>132</v>
      </c>
      <c r="B49" s="71">
        <v>48</v>
      </c>
      <c r="C49" s="78"/>
      <c r="D49" s="73" t="s">
        <v>133</v>
      </c>
      <c r="E49" s="75" t="s">
        <v>44</v>
      </c>
      <c r="F49" s="74" t="s">
        <v>45</v>
      </c>
      <c r="G49" s="75" t="s">
        <v>46</v>
      </c>
      <c r="H49" s="74" t="s">
        <v>45</v>
      </c>
      <c r="I49" s="74" t="s">
        <v>45</v>
      </c>
      <c r="J49" s="74" t="s">
        <v>45</v>
      </c>
      <c r="K49" s="74" t="s">
        <v>45</v>
      </c>
      <c r="L49" s="80">
        <v>16</v>
      </c>
      <c r="M49" s="73" t="s">
        <v>134</v>
      </c>
      <c r="N49" s="54"/>
      <c r="O49" s="19" t="s">
        <v>108</v>
      </c>
      <c r="P49" s="19"/>
    </row>
    <row r="50" spans="1:16">
      <c r="A50" s="107"/>
      <c r="B50" s="71">
        <v>49</v>
      </c>
      <c r="C50" s="78"/>
      <c r="D50" s="72" t="s">
        <v>48</v>
      </c>
      <c r="E50" s="77" t="s">
        <v>44</v>
      </c>
      <c r="F50" s="76" t="s">
        <v>45</v>
      </c>
      <c r="G50" s="77" t="s">
        <v>46</v>
      </c>
      <c r="H50" s="76" t="s">
        <v>45</v>
      </c>
      <c r="I50" s="76" t="s">
        <v>45</v>
      </c>
      <c r="J50" s="76" t="s">
        <v>45</v>
      </c>
      <c r="K50" s="76" t="s">
        <v>45</v>
      </c>
      <c r="L50" s="81">
        <v>16</v>
      </c>
      <c r="M50" s="72" t="s">
        <v>49</v>
      </c>
      <c r="N50" s="54"/>
      <c r="O50" s="19"/>
      <c r="P50" s="19"/>
    </row>
    <row r="51" spans="1:16">
      <c r="A51" s="107"/>
      <c r="B51" s="71">
        <v>50</v>
      </c>
      <c r="C51" s="78"/>
      <c r="D51" s="72" t="s">
        <v>109</v>
      </c>
      <c r="E51" s="77" t="s">
        <v>44</v>
      </c>
      <c r="F51" s="76" t="s">
        <v>45</v>
      </c>
      <c r="G51" s="77" t="s">
        <v>46</v>
      </c>
      <c r="H51" s="76" t="s">
        <v>45</v>
      </c>
      <c r="I51" s="76" t="s">
        <v>45</v>
      </c>
      <c r="J51" s="76" t="s">
        <v>45</v>
      </c>
      <c r="K51" s="76" t="s">
        <v>45</v>
      </c>
      <c r="L51" s="81">
        <v>8</v>
      </c>
      <c r="M51" s="72"/>
      <c r="N51" s="54"/>
      <c r="O51" s="19"/>
      <c r="P51" s="19"/>
    </row>
    <row r="52" spans="1:16">
      <c r="A52" s="107"/>
      <c r="B52" s="71">
        <v>51</v>
      </c>
      <c r="C52" s="78"/>
      <c r="D52" s="72" t="s">
        <v>135</v>
      </c>
      <c r="E52" s="77" t="s">
        <v>44</v>
      </c>
      <c r="F52" s="76" t="s">
        <v>45</v>
      </c>
      <c r="G52" s="77" t="s">
        <v>46</v>
      </c>
      <c r="H52" s="76" t="s">
        <v>45</v>
      </c>
      <c r="I52" s="76" t="s">
        <v>45</v>
      </c>
      <c r="J52" s="76" t="s">
        <v>45</v>
      </c>
      <c r="K52" s="76" t="s">
        <v>45</v>
      </c>
      <c r="L52" s="81">
        <v>8</v>
      </c>
      <c r="M52" s="72"/>
      <c r="N52" s="54"/>
      <c r="O52" s="19" t="s">
        <v>108</v>
      </c>
      <c r="P52" s="19"/>
    </row>
    <row r="53" spans="1:16">
      <c r="A53" s="107"/>
      <c r="B53" s="71">
        <v>52</v>
      </c>
      <c r="C53" s="78"/>
      <c r="D53" s="72" t="s">
        <v>136</v>
      </c>
      <c r="E53" s="77" t="s">
        <v>44</v>
      </c>
      <c r="F53" s="76" t="s">
        <v>45</v>
      </c>
      <c r="G53" s="77" t="s">
        <v>46</v>
      </c>
      <c r="H53" s="76" t="s">
        <v>45</v>
      </c>
      <c r="I53" s="76" t="s">
        <v>45</v>
      </c>
      <c r="J53" s="76" t="s">
        <v>45</v>
      </c>
      <c r="K53" s="76" t="s">
        <v>45</v>
      </c>
      <c r="L53" s="81">
        <v>8</v>
      </c>
      <c r="M53" s="72"/>
      <c r="N53" s="54"/>
      <c r="O53" s="19" t="s">
        <v>108</v>
      </c>
      <c r="P53" s="19"/>
    </row>
    <row r="54" spans="1:16">
      <c r="A54" s="107"/>
      <c r="B54" s="71">
        <v>53</v>
      </c>
      <c r="C54" s="78"/>
      <c r="D54" s="72" t="s">
        <v>137</v>
      </c>
      <c r="E54" s="77" t="s">
        <v>44</v>
      </c>
      <c r="F54" s="76" t="s">
        <v>45</v>
      </c>
      <c r="G54" s="77" t="s">
        <v>46</v>
      </c>
      <c r="H54" s="76" t="s">
        <v>45</v>
      </c>
      <c r="I54" s="76" t="s">
        <v>45</v>
      </c>
      <c r="J54" s="76" t="s">
        <v>45</v>
      </c>
      <c r="K54" s="76" t="s">
        <v>45</v>
      </c>
      <c r="L54" s="81">
        <v>8</v>
      </c>
      <c r="M54" s="72"/>
      <c r="N54" s="54"/>
      <c r="O54" s="19" t="s">
        <v>108</v>
      </c>
      <c r="P54" s="19"/>
    </row>
    <row r="55" spans="1:16">
      <c r="A55" s="107"/>
      <c r="B55" s="71">
        <v>54</v>
      </c>
      <c r="C55" s="78"/>
      <c r="D55" s="72" t="s">
        <v>138</v>
      </c>
      <c r="E55" s="77" t="s">
        <v>44</v>
      </c>
      <c r="F55" s="76" t="s">
        <v>45</v>
      </c>
      <c r="G55" s="77" t="s">
        <v>46</v>
      </c>
      <c r="H55" s="76" t="s">
        <v>45</v>
      </c>
      <c r="I55" s="76" t="s">
        <v>45</v>
      </c>
      <c r="J55" s="76" t="s">
        <v>45</v>
      </c>
      <c r="K55" s="76" t="s">
        <v>45</v>
      </c>
      <c r="L55" s="81">
        <v>8</v>
      </c>
      <c r="M55" s="72"/>
      <c r="N55" s="54"/>
      <c r="O55" s="19" t="s">
        <v>108</v>
      </c>
      <c r="P55" s="19"/>
    </row>
    <row r="56" spans="1:16">
      <c r="A56" s="107"/>
      <c r="B56" s="71">
        <v>55</v>
      </c>
      <c r="C56" s="78"/>
      <c r="D56" s="72" t="s">
        <v>139</v>
      </c>
      <c r="E56" s="77" t="s">
        <v>44</v>
      </c>
      <c r="F56" s="76" t="s">
        <v>45</v>
      </c>
      <c r="G56" s="77" t="s">
        <v>46</v>
      </c>
      <c r="H56" s="76" t="s">
        <v>45</v>
      </c>
      <c r="I56" s="76" t="s">
        <v>45</v>
      </c>
      <c r="J56" s="76" t="s">
        <v>45</v>
      </c>
      <c r="K56" s="76" t="s">
        <v>45</v>
      </c>
      <c r="L56" s="81">
        <v>8</v>
      </c>
      <c r="M56" s="72"/>
      <c r="N56" s="54"/>
      <c r="O56" s="19" t="s">
        <v>108</v>
      </c>
      <c r="P56" s="19"/>
    </row>
    <row r="57" spans="1:16">
      <c r="A57" s="107"/>
      <c r="B57" s="71">
        <v>56</v>
      </c>
      <c r="C57" s="78"/>
      <c r="D57" s="72" t="s">
        <v>140</v>
      </c>
      <c r="E57" s="77" t="s">
        <v>44</v>
      </c>
      <c r="F57" s="76" t="s">
        <v>45</v>
      </c>
      <c r="G57" s="77" t="s">
        <v>46</v>
      </c>
      <c r="H57" s="76" t="s">
        <v>45</v>
      </c>
      <c r="I57" s="76" t="s">
        <v>45</v>
      </c>
      <c r="J57" s="76" t="s">
        <v>45</v>
      </c>
      <c r="K57" s="76" t="s">
        <v>45</v>
      </c>
      <c r="L57" s="81">
        <v>8</v>
      </c>
      <c r="M57" s="72"/>
      <c r="N57" s="54"/>
      <c r="O57" s="19" t="s">
        <v>108</v>
      </c>
      <c r="P57" s="19"/>
    </row>
    <row r="58" spans="1:16">
      <c r="A58" s="107"/>
      <c r="B58" s="71">
        <v>57</v>
      </c>
      <c r="C58" s="78"/>
      <c r="D58" s="72" t="s">
        <v>141</v>
      </c>
      <c r="E58" s="77" t="s">
        <v>44</v>
      </c>
      <c r="F58" s="76" t="s">
        <v>45</v>
      </c>
      <c r="G58" s="77" t="s">
        <v>46</v>
      </c>
      <c r="H58" s="76" t="s">
        <v>45</v>
      </c>
      <c r="I58" s="76" t="s">
        <v>45</v>
      </c>
      <c r="J58" s="76" t="s">
        <v>45</v>
      </c>
      <c r="K58" s="76" t="s">
        <v>45</v>
      </c>
      <c r="L58" s="81">
        <v>8</v>
      </c>
      <c r="M58" s="72"/>
      <c r="N58" s="54"/>
      <c r="O58" s="19" t="s">
        <v>108</v>
      </c>
      <c r="P58" s="19"/>
    </row>
    <row r="59" spans="1:16">
      <c r="A59" s="107"/>
      <c r="B59" s="71">
        <v>58</v>
      </c>
      <c r="C59" s="78"/>
      <c r="D59" s="72" t="s">
        <v>142</v>
      </c>
      <c r="E59" s="77" t="s">
        <v>44</v>
      </c>
      <c r="F59" s="76" t="s">
        <v>45</v>
      </c>
      <c r="G59" s="77" t="s">
        <v>46</v>
      </c>
      <c r="H59" s="76" t="s">
        <v>45</v>
      </c>
      <c r="I59" s="76" t="s">
        <v>45</v>
      </c>
      <c r="J59" s="76" t="s">
        <v>45</v>
      </c>
      <c r="K59" s="76" t="s">
        <v>45</v>
      </c>
      <c r="L59" s="81">
        <v>8</v>
      </c>
      <c r="M59" s="72"/>
      <c r="N59" s="54"/>
      <c r="O59" s="19" t="s">
        <v>108</v>
      </c>
      <c r="P59" s="19"/>
    </row>
    <row r="60" spans="1:16">
      <c r="A60" s="107"/>
      <c r="B60" s="71">
        <v>59</v>
      </c>
      <c r="C60" s="78"/>
      <c r="D60" s="72" t="s">
        <v>143</v>
      </c>
      <c r="E60" s="77" t="s">
        <v>44</v>
      </c>
      <c r="F60" s="76" t="s">
        <v>45</v>
      </c>
      <c r="G60" s="77" t="s">
        <v>46</v>
      </c>
      <c r="H60" s="76" t="s">
        <v>45</v>
      </c>
      <c r="I60" s="76" t="s">
        <v>45</v>
      </c>
      <c r="J60" s="76" t="s">
        <v>45</v>
      </c>
      <c r="K60" s="76" t="s">
        <v>45</v>
      </c>
      <c r="L60" s="81">
        <v>8</v>
      </c>
      <c r="M60" s="72"/>
      <c r="N60" s="54"/>
      <c r="O60" s="19" t="s">
        <v>108</v>
      </c>
      <c r="P60" s="19"/>
    </row>
    <row r="61" spans="1:16">
      <c r="A61" s="107"/>
      <c r="B61" s="71">
        <v>60</v>
      </c>
      <c r="C61" s="78"/>
      <c r="D61" s="72" t="s">
        <v>144</v>
      </c>
      <c r="E61" s="77" t="s">
        <v>44</v>
      </c>
      <c r="F61" s="76" t="s">
        <v>45</v>
      </c>
      <c r="G61" s="77" t="s">
        <v>46</v>
      </c>
      <c r="H61" s="76" t="s">
        <v>45</v>
      </c>
      <c r="I61" s="76" t="s">
        <v>45</v>
      </c>
      <c r="J61" s="76" t="s">
        <v>45</v>
      </c>
      <c r="K61" s="76" t="s">
        <v>45</v>
      </c>
      <c r="L61" s="81">
        <v>8</v>
      </c>
      <c r="M61" s="72"/>
      <c r="N61" s="54"/>
      <c r="O61" s="19" t="s">
        <v>108</v>
      </c>
      <c r="P61" s="19"/>
    </row>
    <row r="62" spans="1:16">
      <c r="A62" s="107"/>
      <c r="B62" s="71">
        <v>61</v>
      </c>
      <c r="C62" s="78"/>
      <c r="D62" s="72" t="s">
        <v>145</v>
      </c>
      <c r="E62" s="77" t="s">
        <v>44</v>
      </c>
      <c r="F62" s="76" t="s">
        <v>45</v>
      </c>
      <c r="G62" s="77" t="s">
        <v>46</v>
      </c>
      <c r="H62" s="76" t="s">
        <v>45</v>
      </c>
      <c r="I62" s="76" t="s">
        <v>45</v>
      </c>
      <c r="J62" s="76" t="s">
        <v>45</v>
      </c>
      <c r="K62" s="76" t="s">
        <v>45</v>
      </c>
      <c r="L62" s="81">
        <v>8</v>
      </c>
      <c r="M62" s="72"/>
      <c r="N62" s="54"/>
      <c r="O62" s="19" t="s">
        <v>108</v>
      </c>
      <c r="P62" s="19"/>
    </row>
    <row r="63" spans="1:16">
      <c r="A63" s="107"/>
      <c r="B63" s="71">
        <v>62</v>
      </c>
      <c r="C63" s="78"/>
      <c r="D63" s="72" t="s">
        <v>146</v>
      </c>
      <c r="E63" s="77" t="s">
        <v>44</v>
      </c>
      <c r="F63" s="76" t="s">
        <v>45</v>
      </c>
      <c r="G63" s="77" t="s">
        <v>46</v>
      </c>
      <c r="H63" s="76" t="s">
        <v>45</v>
      </c>
      <c r="I63" s="76" t="s">
        <v>45</v>
      </c>
      <c r="J63" s="76" t="s">
        <v>45</v>
      </c>
      <c r="K63" s="76" t="s">
        <v>45</v>
      </c>
      <c r="L63" s="81">
        <v>8</v>
      </c>
      <c r="M63" s="72"/>
      <c r="N63" s="54"/>
      <c r="O63" s="19" t="s">
        <v>108</v>
      </c>
      <c r="P63" s="19"/>
    </row>
    <row r="64" spans="1:16">
      <c r="A64" s="107"/>
      <c r="B64" s="71">
        <v>63</v>
      </c>
      <c r="C64" s="78"/>
      <c r="D64" s="72" t="s">
        <v>147</v>
      </c>
      <c r="E64" s="77" t="s">
        <v>44</v>
      </c>
      <c r="F64" s="76" t="s">
        <v>45</v>
      </c>
      <c r="G64" s="77" t="s">
        <v>46</v>
      </c>
      <c r="H64" s="76" t="s">
        <v>45</v>
      </c>
      <c r="I64" s="76" t="s">
        <v>45</v>
      </c>
      <c r="J64" s="76" t="s">
        <v>45</v>
      </c>
      <c r="K64" s="76" t="s">
        <v>45</v>
      </c>
      <c r="L64" s="81">
        <v>8</v>
      </c>
      <c r="M64" s="72"/>
      <c r="N64" s="54"/>
      <c r="O64" s="19" t="s">
        <v>108</v>
      </c>
      <c r="P64" s="19"/>
    </row>
    <row r="65" spans="1:16" ht="24">
      <c r="A65" s="107"/>
      <c r="B65" s="71">
        <v>64</v>
      </c>
      <c r="C65" s="78"/>
      <c r="D65" s="72" t="s">
        <v>148</v>
      </c>
      <c r="E65" s="72" t="s">
        <v>44</v>
      </c>
      <c r="F65" s="72" t="s">
        <v>45</v>
      </c>
      <c r="G65" s="72" t="s">
        <v>46</v>
      </c>
      <c r="H65" s="72" t="s">
        <v>45</v>
      </c>
      <c r="I65" s="72" t="s">
        <v>45</v>
      </c>
      <c r="J65" s="72" t="s">
        <v>45</v>
      </c>
      <c r="K65" s="72" t="s">
        <v>45</v>
      </c>
      <c r="L65" s="81">
        <v>8</v>
      </c>
      <c r="M65" s="78"/>
      <c r="N65" s="54"/>
      <c r="O65" s="19" t="s">
        <v>108</v>
      </c>
      <c r="P65" s="19"/>
    </row>
    <row r="66" spans="1:16">
      <c r="A66" s="107"/>
      <c r="B66" s="71">
        <v>65</v>
      </c>
      <c r="C66" s="72"/>
      <c r="D66" s="72" t="s">
        <v>149</v>
      </c>
      <c r="E66" s="72" t="s">
        <v>44</v>
      </c>
      <c r="F66" s="72" t="s">
        <v>45</v>
      </c>
      <c r="G66" s="72" t="s">
        <v>46</v>
      </c>
      <c r="H66" s="72" t="s">
        <v>45</v>
      </c>
      <c r="I66" s="72" t="s">
        <v>45</v>
      </c>
      <c r="J66" s="72" t="s">
        <v>45</v>
      </c>
      <c r="K66" s="72" t="s">
        <v>45</v>
      </c>
      <c r="L66" s="81">
        <v>8</v>
      </c>
      <c r="M66" s="78"/>
      <c r="N66" s="54"/>
      <c r="O66" s="19" t="s">
        <v>108</v>
      </c>
      <c r="P66" s="19"/>
    </row>
    <row r="67" spans="1:16">
      <c r="A67" s="107"/>
      <c r="B67" s="71">
        <v>66</v>
      </c>
      <c r="C67" s="72"/>
      <c r="D67" s="72" t="s">
        <v>150</v>
      </c>
      <c r="E67" s="72" t="s">
        <v>44</v>
      </c>
      <c r="F67" s="72" t="s">
        <v>45</v>
      </c>
      <c r="G67" s="72" t="s">
        <v>46</v>
      </c>
      <c r="H67" s="72" t="s">
        <v>45</v>
      </c>
      <c r="I67" s="72" t="s">
        <v>45</v>
      </c>
      <c r="J67" s="72" t="s">
        <v>45</v>
      </c>
      <c r="K67" s="72" t="s">
        <v>45</v>
      </c>
      <c r="L67" s="81">
        <v>8</v>
      </c>
      <c r="M67" s="78"/>
      <c r="N67" s="54"/>
      <c r="O67" s="19"/>
      <c r="P67" s="19"/>
    </row>
    <row r="68" spans="1:16">
      <c r="A68" s="107"/>
      <c r="B68" s="71">
        <v>67</v>
      </c>
      <c r="C68" s="72"/>
      <c r="D68" s="72" t="s">
        <v>151</v>
      </c>
      <c r="E68" s="72" t="s">
        <v>44</v>
      </c>
      <c r="F68" s="72" t="s">
        <v>45</v>
      </c>
      <c r="G68" s="72" t="s">
        <v>46</v>
      </c>
      <c r="H68" s="72" t="s">
        <v>45</v>
      </c>
      <c r="I68" s="72" t="s">
        <v>45</v>
      </c>
      <c r="J68" s="72" t="s">
        <v>45</v>
      </c>
      <c r="K68" s="72" t="s">
        <v>45</v>
      </c>
      <c r="L68" s="81">
        <v>8</v>
      </c>
      <c r="M68" s="78"/>
      <c r="N68" s="54"/>
      <c r="O68" s="19"/>
      <c r="P68" s="19"/>
    </row>
    <row r="69" spans="1:16">
      <c r="A69" s="107"/>
      <c r="B69" s="71">
        <v>68</v>
      </c>
      <c r="C69" s="72"/>
      <c r="D69" s="72" t="s">
        <v>152</v>
      </c>
      <c r="E69" s="72" t="s">
        <v>44</v>
      </c>
      <c r="F69" s="72" t="s">
        <v>45</v>
      </c>
      <c r="G69" s="72" t="s">
        <v>46</v>
      </c>
      <c r="H69" s="72" t="s">
        <v>45</v>
      </c>
      <c r="I69" s="72" t="s">
        <v>45</v>
      </c>
      <c r="J69" s="72" t="s">
        <v>45</v>
      </c>
      <c r="K69" s="72" t="s">
        <v>45</v>
      </c>
      <c r="L69" s="81">
        <v>8</v>
      </c>
      <c r="M69" s="78"/>
      <c r="N69" s="54"/>
      <c r="O69" s="19" t="s">
        <v>108</v>
      </c>
      <c r="P69" s="19"/>
    </row>
    <row r="70" spans="1:16">
      <c r="A70" s="107"/>
      <c r="B70" s="71">
        <v>69</v>
      </c>
      <c r="C70" s="72"/>
      <c r="D70" s="72" t="s">
        <v>153</v>
      </c>
      <c r="E70" s="72" t="s">
        <v>44</v>
      </c>
      <c r="F70" s="72" t="s">
        <v>45</v>
      </c>
      <c r="G70" s="72" t="s">
        <v>46</v>
      </c>
      <c r="H70" s="72" t="s">
        <v>45</v>
      </c>
      <c r="I70" s="72" t="s">
        <v>45</v>
      </c>
      <c r="J70" s="72" t="s">
        <v>45</v>
      </c>
      <c r="K70" s="72" t="s">
        <v>45</v>
      </c>
      <c r="L70" s="81">
        <v>8</v>
      </c>
      <c r="M70" s="78"/>
      <c r="N70" s="54"/>
      <c r="O70" s="19"/>
      <c r="P70" s="19"/>
    </row>
    <row r="71" spans="1:16">
      <c r="A71" s="108"/>
      <c r="B71" s="71">
        <v>70</v>
      </c>
      <c r="C71" s="72"/>
      <c r="D71" s="72" t="s">
        <v>154</v>
      </c>
      <c r="E71" s="72" t="s">
        <v>44</v>
      </c>
      <c r="F71" s="72" t="s">
        <v>45</v>
      </c>
      <c r="G71" s="72" t="s">
        <v>46</v>
      </c>
      <c r="H71" s="72" t="s">
        <v>45</v>
      </c>
      <c r="I71" s="72" t="s">
        <v>45</v>
      </c>
      <c r="J71" s="72" t="s">
        <v>45</v>
      </c>
      <c r="K71" s="72" t="s">
        <v>45</v>
      </c>
      <c r="L71" s="81">
        <v>8</v>
      </c>
      <c r="M71" s="78"/>
      <c r="N71" s="54"/>
      <c r="O71" s="19" t="s">
        <v>108</v>
      </c>
      <c r="P71" s="19"/>
    </row>
    <row r="72" spans="1:16">
      <c r="A72" s="109" t="s">
        <v>155</v>
      </c>
      <c r="B72" s="82">
        <v>71</v>
      </c>
      <c r="C72" s="82"/>
      <c r="D72" s="83" t="s">
        <v>156</v>
      </c>
      <c r="E72" s="84" t="s">
        <v>44</v>
      </c>
      <c r="F72" s="84" t="s">
        <v>45</v>
      </c>
      <c r="G72" s="84" t="s">
        <v>46</v>
      </c>
      <c r="H72" s="84" t="s">
        <v>45</v>
      </c>
      <c r="I72" s="84" t="s">
        <v>45</v>
      </c>
      <c r="J72" s="84" t="s">
        <v>45</v>
      </c>
      <c r="K72" s="84" t="s">
        <v>45</v>
      </c>
      <c r="L72" s="84">
        <v>16</v>
      </c>
      <c r="M72" s="83" t="s">
        <v>157</v>
      </c>
      <c r="N72" s="90"/>
      <c r="O72" s="19"/>
      <c r="P72" s="19"/>
    </row>
    <row r="73" spans="1:16">
      <c r="A73" s="110"/>
      <c r="B73" s="82">
        <v>72</v>
      </c>
      <c r="C73" s="82"/>
      <c r="D73" s="83" t="s">
        <v>48</v>
      </c>
      <c r="E73" s="84" t="s">
        <v>44</v>
      </c>
      <c r="F73" s="84" t="s">
        <v>45</v>
      </c>
      <c r="G73" s="84" t="s">
        <v>46</v>
      </c>
      <c r="H73" s="84" t="s">
        <v>45</v>
      </c>
      <c r="I73" s="84" t="s">
        <v>45</v>
      </c>
      <c r="J73" s="84" t="s">
        <v>45</v>
      </c>
      <c r="K73" s="84" t="s">
        <v>45</v>
      </c>
      <c r="L73" s="84">
        <v>16</v>
      </c>
      <c r="M73" s="83" t="s">
        <v>158</v>
      </c>
      <c r="N73" s="90"/>
      <c r="O73" s="19"/>
      <c r="P73" s="19"/>
    </row>
    <row r="74" spans="1:16" ht="24">
      <c r="A74" s="110"/>
      <c r="B74" s="82">
        <v>73</v>
      </c>
      <c r="C74" s="82"/>
      <c r="D74" s="85" t="s">
        <v>159</v>
      </c>
      <c r="E74" s="84" t="s">
        <v>44</v>
      </c>
      <c r="F74" s="84" t="s">
        <v>45</v>
      </c>
      <c r="G74" s="84" t="s">
        <v>46</v>
      </c>
      <c r="H74" s="84" t="s">
        <v>45</v>
      </c>
      <c r="I74" s="84" t="s">
        <v>45</v>
      </c>
      <c r="J74" s="89" t="s">
        <v>45</v>
      </c>
      <c r="K74" s="84" t="s">
        <v>45</v>
      </c>
      <c r="L74" s="84">
        <v>32</v>
      </c>
      <c r="M74" s="91" t="s">
        <v>160</v>
      </c>
      <c r="N74" s="90"/>
      <c r="O74" s="19"/>
      <c r="P74" s="19"/>
    </row>
    <row r="75" spans="1:16">
      <c r="A75" s="110"/>
      <c r="B75" s="82">
        <v>74</v>
      </c>
      <c r="C75" s="82"/>
      <c r="D75" s="86" t="s">
        <v>161</v>
      </c>
      <c r="E75" s="84" t="s">
        <v>44</v>
      </c>
      <c r="F75" s="84" t="s">
        <v>45</v>
      </c>
      <c r="G75" s="84" t="s">
        <v>46</v>
      </c>
      <c r="H75" s="84" t="s">
        <v>45</v>
      </c>
      <c r="I75" s="84" t="s">
        <v>45</v>
      </c>
      <c r="J75" s="89" t="s">
        <v>45</v>
      </c>
      <c r="K75" s="84" t="s">
        <v>45</v>
      </c>
      <c r="L75" s="84">
        <v>32</v>
      </c>
      <c r="M75" s="91" t="s">
        <v>162</v>
      </c>
      <c r="N75" s="90"/>
      <c r="O75" s="19"/>
      <c r="P75" s="19"/>
    </row>
    <row r="76" spans="1:16">
      <c r="A76" s="110"/>
      <c r="B76" s="82">
        <v>75</v>
      </c>
      <c r="C76" s="82"/>
      <c r="D76" s="86" t="s">
        <v>163</v>
      </c>
      <c r="E76" s="84" t="s">
        <v>44</v>
      </c>
      <c r="F76" s="84" t="s">
        <v>45</v>
      </c>
      <c r="G76" s="84" t="s">
        <v>46</v>
      </c>
      <c r="H76" s="84" t="s">
        <v>45</v>
      </c>
      <c r="I76" s="84" t="s">
        <v>45</v>
      </c>
      <c r="J76" s="89" t="s">
        <v>45</v>
      </c>
      <c r="K76" s="84" t="s">
        <v>45</v>
      </c>
      <c r="L76" s="84">
        <v>8</v>
      </c>
      <c r="M76" s="91" t="s">
        <v>164</v>
      </c>
      <c r="N76" s="90"/>
      <c r="O76" s="19"/>
      <c r="P76" s="19"/>
    </row>
    <row r="77" spans="1:16">
      <c r="A77" s="110"/>
      <c r="B77" s="82">
        <v>76</v>
      </c>
      <c r="C77" s="87"/>
      <c r="D77" s="85" t="s">
        <v>165</v>
      </c>
      <c r="E77" s="88" t="s">
        <v>44</v>
      </c>
      <c r="F77" s="89" t="s">
        <v>45</v>
      </c>
      <c r="G77" s="88" t="s">
        <v>46</v>
      </c>
      <c r="H77" s="89" t="s">
        <v>45</v>
      </c>
      <c r="I77" s="89" t="s">
        <v>45</v>
      </c>
      <c r="J77" s="89" t="s">
        <v>45</v>
      </c>
      <c r="K77" s="89" t="s">
        <v>45</v>
      </c>
      <c r="L77" s="92">
        <v>2</v>
      </c>
      <c r="M77" s="91" t="s">
        <v>166</v>
      </c>
      <c r="N77" s="90"/>
      <c r="O77" s="93" t="s">
        <v>167</v>
      </c>
      <c r="P77" s="19"/>
    </row>
    <row r="78" spans="1:16">
      <c r="A78" s="110"/>
      <c r="B78" s="82">
        <v>77</v>
      </c>
      <c r="C78" s="87"/>
      <c r="D78" s="85" t="s">
        <v>168</v>
      </c>
      <c r="E78" s="88" t="s">
        <v>44</v>
      </c>
      <c r="F78" s="89" t="s">
        <v>45</v>
      </c>
      <c r="G78" s="88" t="s">
        <v>46</v>
      </c>
      <c r="H78" s="89" t="s">
        <v>45</v>
      </c>
      <c r="I78" s="89" t="s">
        <v>45</v>
      </c>
      <c r="J78" s="89" t="s">
        <v>45</v>
      </c>
      <c r="K78" s="89" t="s">
        <v>45</v>
      </c>
      <c r="L78" s="92">
        <v>2</v>
      </c>
      <c r="M78" s="91" t="s">
        <v>169</v>
      </c>
      <c r="N78" s="90"/>
      <c r="O78" s="93" t="s">
        <v>167</v>
      </c>
      <c r="P78" s="19"/>
    </row>
    <row r="79" spans="1:16">
      <c r="A79" s="110"/>
      <c r="B79" s="82">
        <v>78</v>
      </c>
      <c r="C79" s="87"/>
      <c r="D79" s="85" t="s">
        <v>170</v>
      </c>
      <c r="E79" s="88" t="s">
        <v>44</v>
      </c>
      <c r="F79" s="89" t="s">
        <v>45</v>
      </c>
      <c r="G79" s="88" t="s">
        <v>46</v>
      </c>
      <c r="H79" s="89" t="s">
        <v>45</v>
      </c>
      <c r="I79" s="89" t="s">
        <v>45</v>
      </c>
      <c r="J79" s="89" t="s">
        <v>45</v>
      </c>
      <c r="K79" s="89" t="s">
        <v>45</v>
      </c>
      <c r="L79" s="92">
        <v>20</v>
      </c>
      <c r="M79" s="91" t="s">
        <v>171</v>
      </c>
      <c r="N79" s="90"/>
      <c r="O79" s="93" t="s">
        <v>167</v>
      </c>
      <c r="P79" s="19"/>
    </row>
    <row r="80" spans="1:16">
      <c r="A80" s="110"/>
      <c r="B80" s="82">
        <v>79</v>
      </c>
      <c r="C80" s="87"/>
      <c r="D80" s="86" t="s">
        <v>172</v>
      </c>
      <c r="E80" s="88" t="s">
        <v>44</v>
      </c>
      <c r="F80" s="89" t="s">
        <v>45</v>
      </c>
      <c r="G80" s="88" t="s">
        <v>46</v>
      </c>
      <c r="H80" s="89" t="s">
        <v>45</v>
      </c>
      <c r="I80" s="89" t="s">
        <v>45</v>
      </c>
      <c r="J80" s="89" t="s">
        <v>45</v>
      </c>
      <c r="K80" s="89" t="s">
        <v>45</v>
      </c>
      <c r="L80" s="92">
        <v>8</v>
      </c>
      <c r="M80" s="91" t="s">
        <v>173</v>
      </c>
      <c r="N80" s="90"/>
      <c r="O80" s="93" t="s">
        <v>174</v>
      </c>
      <c r="P80" s="19"/>
    </row>
    <row r="81" spans="1:16">
      <c r="A81" s="110"/>
      <c r="B81" s="82">
        <v>80</v>
      </c>
      <c r="C81" s="87"/>
      <c r="D81" s="86" t="s">
        <v>175</v>
      </c>
      <c r="E81" s="88" t="s">
        <v>44</v>
      </c>
      <c r="F81" s="89" t="s">
        <v>45</v>
      </c>
      <c r="G81" s="88" t="s">
        <v>46</v>
      </c>
      <c r="H81" s="89" t="s">
        <v>45</v>
      </c>
      <c r="I81" s="89" t="s">
        <v>45</v>
      </c>
      <c r="J81" s="89" t="s">
        <v>45</v>
      </c>
      <c r="K81" s="89" t="s">
        <v>45</v>
      </c>
      <c r="L81" s="92">
        <v>8</v>
      </c>
      <c r="M81" s="91" t="s">
        <v>176</v>
      </c>
      <c r="N81" s="90"/>
      <c r="O81" s="93" t="s">
        <v>174</v>
      </c>
      <c r="P81" s="19"/>
    </row>
    <row r="82" spans="1:16" ht="24">
      <c r="A82" s="110"/>
      <c r="B82" s="82">
        <v>81</v>
      </c>
      <c r="C82" s="87"/>
      <c r="D82" s="86" t="s">
        <v>177</v>
      </c>
      <c r="E82" s="84" t="s">
        <v>44</v>
      </c>
      <c r="F82" s="84" t="s">
        <v>45</v>
      </c>
      <c r="G82" s="84" t="s">
        <v>46</v>
      </c>
      <c r="H82" s="84" t="s">
        <v>45</v>
      </c>
      <c r="I82" s="84" t="s">
        <v>45</v>
      </c>
      <c r="J82" s="89" t="s">
        <v>45</v>
      </c>
      <c r="K82" s="84" t="s">
        <v>45</v>
      </c>
      <c r="L82" s="84">
        <v>8</v>
      </c>
      <c r="M82" s="91" t="s">
        <v>178</v>
      </c>
      <c r="N82" s="90"/>
      <c r="O82" s="93" t="s">
        <v>174</v>
      </c>
      <c r="P82" s="19"/>
    </row>
    <row r="83" spans="1:16">
      <c r="A83" s="110"/>
      <c r="B83" s="82">
        <v>82</v>
      </c>
      <c r="C83" s="87"/>
      <c r="D83" s="86" t="s">
        <v>179</v>
      </c>
      <c r="E83" s="84" t="s">
        <v>44</v>
      </c>
      <c r="F83" s="84" t="s">
        <v>45</v>
      </c>
      <c r="G83" s="84" t="s">
        <v>46</v>
      </c>
      <c r="H83" s="84" t="s">
        <v>45</v>
      </c>
      <c r="I83" s="84" t="s">
        <v>45</v>
      </c>
      <c r="J83" s="89" t="s">
        <v>45</v>
      </c>
      <c r="K83" s="84" t="s">
        <v>45</v>
      </c>
      <c r="L83" s="84">
        <v>8</v>
      </c>
      <c r="M83" s="91" t="s">
        <v>180</v>
      </c>
      <c r="N83" s="90"/>
      <c r="O83" s="93" t="s">
        <v>174</v>
      </c>
      <c r="P83" s="19"/>
    </row>
    <row r="84" spans="1:16">
      <c r="A84" s="110"/>
      <c r="B84" s="82">
        <v>83</v>
      </c>
      <c r="C84" s="87"/>
      <c r="D84" s="86" t="s">
        <v>181</v>
      </c>
      <c r="E84" s="84" t="s">
        <v>44</v>
      </c>
      <c r="F84" s="84" t="s">
        <v>45</v>
      </c>
      <c r="G84" s="84" t="s">
        <v>46</v>
      </c>
      <c r="H84" s="84" t="s">
        <v>45</v>
      </c>
      <c r="I84" s="84" t="s">
        <v>45</v>
      </c>
      <c r="J84" s="89" t="s">
        <v>45</v>
      </c>
      <c r="K84" s="84" t="s">
        <v>45</v>
      </c>
      <c r="L84" s="84">
        <v>32</v>
      </c>
      <c r="M84" s="91" t="s">
        <v>182</v>
      </c>
      <c r="N84" s="69"/>
      <c r="O84" s="94" t="s">
        <v>183</v>
      </c>
      <c r="P84" s="19"/>
    </row>
    <row r="85" spans="1:16">
      <c r="A85" s="111"/>
      <c r="B85" s="82">
        <v>84</v>
      </c>
      <c r="C85" s="87"/>
      <c r="D85" s="86" t="s">
        <v>184</v>
      </c>
      <c r="E85" s="84" t="s">
        <v>44</v>
      </c>
      <c r="F85" s="84" t="s">
        <v>45</v>
      </c>
      <c r="G85" s="84" t="s">
        <v>46</v>
      </c>
      <c r="H85" s="84" t="s">
        <v>45</v>
      </c>
      <c r="I85" s="84" t="s">
        <v>45</v>
      </c>
      <c r="J85" s="89" t="s">
        <v>45</v>
      </c>
      <c r="K85" s="84" t="s">
        <v>45</v>
      </c>
      <c r="L85" s="84">
        <v>32</v>
      </c>
      <c r="M85" s="91" t="s">
        <v>185</v>
      </c>
      <c r="N85" s="69"/>
      <c r="O85" s="94" t="s">
        <v>183</v>
      </c>
      <c r="P85" s="19"/>
    </row>
    <row r="86" spans="1:16">
      <c r="A86" s="112" t="s">
        <v>186</v>
      </c>
      <c r="B86" s="82">
        <v>85</v>
      </c>
      <c r="C86" s="39"/>
      <c r="D86" s="39" t="s">
        <v>187</v>
      </c>
      <c r="E86" s="42" t="s">
        <v>44</v>
      </c>
      <c r="F86" s="42" t="s">
        <v>45</v>
      </c>
      <c r="G86" s="42" t="s">
        <v>46</v>
      </c>
      <c r="H86" s="42" t="s">
        <v>45</v>
      </c>
      <c r="I86" s="42" t="s">
        <v>45</v>
      </c>
      <c r="J86" s="42" t="s">
        <v>45</v>
      </c>
      <c r="K86" s="42" t="s">
        <v>45</v>
      </c>
      <c r="L86" s="42">
        <v>8</v>
      </c>
      <c r="M86" s="39" t="s">
        <v>188</v>
      </c>
      <c r="N86" s="18"/>
      <c r="O86" s="18"/>
      <c r="P86" s="55"/>
    </row>
    <row r="87" spans="1:16">
      <c r="A87" s="113"/>
      <c r="B87" s="82">
        <v>86</v>
      </c>
      <c r="C87" s="39"/>
      <c r="D87" s="39" t="s">
        <v>189</v>
      </c>
      <c r="E87" s="42" t="s">
        <v>44</v>
      </c>
      <c r="F87" s="42" t="s">
        <v>45</v>
      </c>
      <c r="G87" s="42" t="s">
        <v>46</v>
      </c>
      <c r="H87" s="42" t="s">
        <v>45</v>
      </c>
      <c r="I87" s="42" t="s">
        <v>45</v>
      </c>
      <c r="J87" s="42" t="s">
        <v>45</v>
      </c>
      <c r="K87" s="42" t="s">
        <v>45</v>
      </c>
      <c r="L87" s="42">
        <v>16</v>
      </c>
      <c r="M87" s="39" t="s">
        <v>190</v>
      </c>
      <c r="N87" s="18"/>
      <c r="O87" s="18"/>
      <c r="P87" s="55"/>
    </row>
    <row r="88" spans="1:16">
      <c r="A88" s="113"/>
      <c r="B88" s="82">
        <v>87</v>
      </c>
      <c r="C88" s="39"/>
      <c r="D88" s="39" t="s">
        <v>48</v>
      </c>
      <c r="E88" s="42" t="s">
        <v>44</v>
      </c>
      <c r="F88" s="42" t="s">
        <v>45</v>
      </c>
      <c r="G88" s="42" t="s">
        <v>46</v>
      </c>
      <c r="H88" s="42" t="s">
        <v>45</v>
      </c>
      <c r="I88" s="42" t="s">
        <v>45</v>
      </c>
      <c r="J88" s="42" t="s">
        <v>45</v>
      </c>
      <c r="K88" s="42" t="s">
        <v>45</v>
      </c>
      <c r="L88" s="42">
        <v>16</v>
      </c>
      <c r="M88" s="39" t="s">
        <v>191</v>
      </c>
      <c r="N88" s="18"/>
      <c r="O88" s="18"/>
      <c r="P88" s="55"/>
    </row>
    <row r="89" spans="1:16" ht="27">
      <c r="A89" s="113"/>
      <c r="B89" s="82">
        <v>88</v>
      </c>
      <c r="C89" s="39"/>
      <c r="D89" s="39" t="s">
        <v>192</v>
      </c>
      <c r="E89" s="42" t="s">
        <v>44</v>
      </c>
      <c r="F89" s="42" t="s">
        <v>45</v>
      </c>
      <c r="G89" s="42" t="s">
        <v>46</v>
      </c>
      <c r="H89" s="42" t="s">
        <v>45</v>
      </c>
      <c r="I89" s="42" t="s">
        <v>45</v>
      </c>
      <c r="J89" s="42" t="s">
        <v>45</v>
      </c>
      <c r="K89" s="42" t="s">
        <v>45</v>
      </c>
      <c r="L89" s="42">
        <v>8</v>
      </c>
      <c r="M89" s="68" t="s">
        <v>193</v>
      </c>
      <c r="N89" s="18"/>
      <c r="O89" s="18"/>
      <c r="P89" s="55"/>
    </row>
    <row r="90" spans="1:16" ht="27">
      <c r="A90" s="113"/>
      <c r="B90" s="82">
        <v>89</v>
      </c>
      <c r="C90" s="39"/>
      <c r="D90" s="39" t="s">
        <v>194</v>
      </c>
      <c r="E90" s="42" t="s">
        <v>44</v>
      </c>
      <c r="F90" s="42" t="s">
        <v>45</v>
      </c>
      <c r="G90" s="42" t="s">
        <v>46</v>
      </c>
      <c r="H90" s="42" t="s">
        <v>45</v>
      </c>
      <c r="I90" s="42" t="s">
        <v>45</v>
      </c>
      <c r="J90" s="42" t="s">
        <v>45</v>
      </c>
      <c r="K90" s="42" t="s">
        <v>45</v>
      </c>
      <c r="L90" s="42">
        <v>8</v>
      </c>
      <c r="M90" s="68" t="s">
        <v>195</v>
      </c>
      <c r="N90" s="18"/>
      <c r="O90" s="18"/>
      <c r="P90" s="55"/>
    </row>
    <row r="91" spans="1:16" ht="27">
      <c r="A91" s="113"/>
      <c r="B91" s="82">
        <v>90</v>
      </c>
      <c r="C91" s="39"/>
      <c r="D91" s="39" t="s">
        <v>196</v>
      </c>
      <c r="E91" s="42" t="s">
        <v>44</v>
      </c>
      <c r="F91" s="42" t="s">
        <v>45</v>
      </c>
      <c r="G91" s="42" t="s">
        <v>46</v>
      </c>
      <c r="H91" s="42" t="s">
        <v>45</v>
      </c>
      <c r="I91" s="42" t="s">
        <v>45</v>
      </c>
      <c r="J91" s="42" t="s">
        <v>45</v>
      </c>
      <c r="K91" s="42" t="s">
        <v>45</v>
      </c>
      <c r="L91" s="42">
        <v>8</v>
      </c>
      <c r="M91" s="68" t="s">
        <v>197</v>
      </c>
      <c r="N91" s="18"/>
      <c r="O91" s="18"/>
      <c r="P91" s="55"/>
    </row>
    <row r="92" spans="1:16" ht="27">
      <c r="A92" s="113"/>
      <c r="B92" s="82">
        <v>91</v>
      </c>
      <c r="C92" s="39"/>
      <c r="D92" s="39" t="s">
        <v>198</v>
      </c>
      <c r="E92" s="42" t="s">
        <v>44</v>
      </c>
      <c r="F92" s="42" t="s">
        <v>45</v>
      </c>
      <c r="G92" s="42" t="s">
        <v>46</v>
      </c>
      <c r="H92" s="42" t="s">
        <v>45</v>
      </c>
      <c r="I92" s="42" t="s">
        <v>45</v>
      </c>
      <c r="J92" s="42" t="s">
        <v>45</v>
      </c>
      <c r="K92" s="42" t="s">
        <v>45</v>
      </c>
      <c r="L92" s="42">
        <v>8</v>
      </c>
      <c r="M92" s="68" t="s">
        <v>199</v>
      </c>
      <c r="N92" s="18"/>
      <c r="O92" s="18"/>
      <c r="P92" s="55"/>
    </row>
    <row r="93" spans="1:16" ht="27">
      <c r="A93" s="113"/>
      <c r="B93" s="82">
        <v>92</v>
      </c>
      <c r="C93" s="39"/>
      <c r="D93" s="39" t="s">
        <v>200</v>
      </c>
      <c r="E93" s="42" t="s">
        <v>44</v>
      </c>
      <c r="F93" s="42" t="s">
        <v>45</v>
      </c>
      <c r="G93" s="42" t="s">
        <v>46</v>
      </c>
      <c r="H93" s="42" t="s">
        <v>45</v>
      </c>
      <c r="I93" s="42" t="s">
        <v>45</v>
      </c>
      <c r="J93" s="42" t="s">
        <v>45</v>
      </c>
      <c r="K93" s="42" t="s">
        <v>45</v>
      </c>
      <c r="L93" s="42">
        <v>8</v>
      </c>
      <c r="M93" s="68" t="s">
        <v>201</v>
      </c>
      <c r="N93" s="18"/>
      <c r="O93" s="18"/>
      <c r="P93" s="55"/>
    </row>
    <row r="94" spans="1:16" ht="27">
      <c r="A94" s="113"/>
      <c r="B94" s="82">
        <v>93</v>
      </c>
      <c r="C94" s="39"/>
      <c r="D94" s="39" t="s">
        <v>202</v>
      </c>
      <c r="E94" s="42" t="s">
        <v>44</v>
      </c>
      <c r="F94" s="42" t="s">
        <v>45</v>
      </c>
      <c r="G94" s="42" t="s">
        <v>46</v>
      </c>
      <c r="H94" s="42" t="s">
        <v>45</v>
      </c>
      <c r="I94" s="42" t="s">
        <v>45</v>
      </c>
      <c r="J94" s="42" t="s">
        <v>45</v>
      </c>
      <c r="K94" s="42" t="s">
        <v>45</v>
      </c>
      <c r="L94" s="42">
        <v>8</v>
      </c>
      <c r="M94" s="68" t="s">
        <v>203</v>
      </c>
      <c r="N94" s="18"/>
      <c r="O94" s="18"/>
      <c r="P94" s="55"/>
    </row>
    <row r="95" spans="1:16">
      <c r="A95" s="113"/>
      <c r="B95" s="82">
        <v>94</v>
      </c>
      <c r="C95" s="39"/>
      <c r="D95" s="39" t="s">
        <v>204</v>
      </c>
      <c r="E95" s="42" t="s">
        <v>44</v>
      </c>
      <c r="F95" s="42" t="s">
        <v>45</v>
      </c>
      <c r="G95" s="42" t="s">
        <v>46</v>
      </c>
      <c r="H95" s="42" t="s">
        <v>45</v>
      </c>
      <c r="I95" s="42" t="s">
        <v>45</v>
      </c>
      <c r="J95" s="42" t="s">
        <v>45</v>
      </c>
      <c r="K95" s="42" t="s">
        <v>45</v>
      </c>
      <c r="L95" s="42">
        <v>8</v>
      </c>
      <c r="M95" s="68" t="s">
        <v>205</v>
      </c>
      <c r="N95" s="18"/>
      <c r="O95" s="18"/>
      <c r="P95" s="55"/>
    </row>
    <row r="96" spans="1:16" ht="27">
      <c r="A96" s="113"/>
      <c r="B96" s="82">
        <v>95</v>
      </c>
      <c r="C96" s="39"/>
      <c r="D96" s="39" t="s">
        <v>206</v>
      </c>
      <c r="E96" s="42" t="s">
        <v>44</v>
      </c>
      <c r="F96" s="42" t="s">
        <v>45</v>
      </c>
      <c r="G96" s="42" t="s">
        <v>46</v>
      </c>
      <c r="H96" s="42" t="s">
        <v>45</v>
      </c>
      <c r="I96" s="42" t="s">
        <v>45</v>
      </c>
      <c r="J96" s="42" t="s">
        <v>45</v>
      </c>
      <c r="K96" s="42" t="s">
        <v>45</v>
      </c>
      <c r="L96" s="42">
        <v>8</v>
      </c>
      <c r="M96" s="68" t="s">
        <v>207</v>
      </c>
      <c r="N96" s="18"/>
      <c r="O96" s="18"/>
      <c r="P96" s="55"/>
    </row>
    <row r="97" spans="1:16" ht="27">
      <c r="A97" s="113"/>
      <c r="B97" s="82">
        <v>96</v>
      </c>
      <c r="C97" s="39"/>
      <c r="D97" s="39" t="s">
        <v>208</v>
      </c>
      <c r="E97" s="42" t="s">
        <v>44</v>
      </c>
      <c r="F97" s="42" t="s">
        <v>45</v>
      </c>
      <c r="G97" s="42" t="s">
        <v>46</v>
      </c>
      <c r="H97" s="42" t="s">
        <v>45</v>
      </c>
      <c r="I97" s="42" t="s">
        <v>45</v>
      </c>
      <c r="J97" s="42" t="s">
        <v>45</v>
      </c>
      <c r="K97" s="42" t="s">
        <v>45</v>
      </c>
      <c r="L97" s="42">
        <v>8</v>
      </c>
      <c r="M97" s="68" t="s">
        <v>209</v>
      </c>
      <c r="N97" s="18"/>
      <c r="O97" s="18"/>
      <c r="P97" s="55"/>
    </row>
    <row r="98" spans="1:16">
      <c r="A98" s="113"/>
      <c r="B98" s="82">
        <v>97</v>
      </c>
      <c r="C98" s="39"/>
      <c r="D98" s="39" t="s">
        <v>210</v>
      </c>
      <c r="E98" s="42" t="s">
        <v>44</v>
      </c>
      <c r="F98" s="42" t="s">
        <v>45</v>
      </c>
      <c r="G98" s="42" t="s">
        <v>46</v>
      </c>
      <c r="H98" s="42" t="s">
        <v>45</v>
      </c>
      <c r="I98" s="42" t="s">
        <v>45</v>
      </c>
      <c r="J98" s="42" t="s">
        <v>45</v>
      </c>
      <c r="K98" s="42" t="s">
        <v>45</v>
      </c>
      <c r="L98" s="42">
        <v>8</v>
      </c>
      <c r="M98" s="68" t="s">
        <v>211</v>
      </c>
      <c r="N98" s="18"/>
      <c r="O98" s="18"/>
      <c r="P98" s="55"/>
    </row>
    <row r="99" spans="1:16" ht="27">
      <c r="A99" s="113"/>
      <c r="B99" s="82">
        <v>98</v>
      </c>
      <c r="C99" s="39"/>
      <c r="D99" s="39" t="s">
        <v>212</v>
      </c>
      <c r="E99" s="42" t="s">
        <v>44</v>
      </c>
      <c r="F99" s="42" t="s">
        <v>45</v>
      </c>
      <c r="G99" s="42" t="s">
        <v>46</v>
      </c>
      <c r="H99" s="42" t="s">
        <v>45</v>
      </c>
      <c r="I99" s="42" t="s">
        <v>45</v>
      </c>
      <c r="J99" s="42" t="s">
        <v>45</v>
      </c>
      <c r="K99" s="42" t="s">
        <v>45</v>
      </c>
      <c r="L99" s="42">
        <v>8</v>
      </c>
      <c r="M99" s="68" t="s">
        <v>213</v>
      </c>
      <c r="N99" s="18"/>
      <c r="O99" s="18"/>
      <c r="P99" s="55"/>
    </row>
    <row r="100" spans="1:16" ht="27">
      <c r="A100" s="113"/>
      <c r="B100" s="82">
        <v>99</v>
      </c>
      <c r="C100" s="39"/>
      <c r="D100" s="39" t="s">
        <v>214</v>
      </c>
      <c r="E100" s="42" t="s">
        <v>44</v>
      </c>
      <c r="F100" s="42" t="s">
        <v>45</v>
      </c>
      <c r="G100" s="42" t="s">
        <v>46</v>
      </c>
      <c r="H100" s="42" t="s">
        <v>45</v>
      </c>
      <c r="I100" s="42" t="s">
        <v>45</v>
      </c>
      <c r="J100" s="42" t="s">
        <v>45</v>
      </c>
      <c r="K100" s="42" t="s">
        <v>45</v>
      </c>
      <c r="L100" s="42">
        <v>8</v>
      </c>
      <c r="M100" s="68" t="s">
        <v>215</v>
      </c>
      <c r="N100" s="18"/>
      <c r="O100" s="18"/>
      <c r="P100" s="55"/>
    </row>
    <row r="101" spans="1:16" ht="40.5">
      <c r="A101" s="113"/>
      <c r="B101" s="82">
        <v>100</v>
      </c>
      <c r="C101" s="39"/>
      <c r="D101" s="39" t="s">
        <v>216</v>
      </c>
      <c r="E101" s="42" t="s">
        <v>44</v>
      </c>
      <c r="F101" s="42" t="s">
        <v>45</v>
      </c>
      <c r="G101" s="42" t="s">
        <v>46</v>
      </c>
      <c r="H101" s="42" t="s">
        <v>45</v>
      </c>
      <c r="I101" s="42" t="s">
        <v>45</v>
      </c>
      <c r="J101" s="42" t="s">
        <v>45</v>
      </c>
      <c r="K101" s="42" t="s">
        <v>45</v>
      </c>
      <c r="L101" s="42">
        <v>8</v>
      </c>
      <c r="M101" s="68" t="s">
        <v>217</v>
      </c>
      <c r="N101" s="18"/>
      <c r="O101" s="18"/>
      <c r="P101" s="55"/>
    </row>
    <row r="102" spans="1:16">
      <c r="A102" s="113"/>
      <c r="B102" s="82">
        <v>101</v>
      </c>
      <c r="C102" s="39"/>
      <c r="D102" s="39" t="s">
        <v>218</v>
      </c>
      <c r="E102" s="42" t="s">
        <v>44</v>
      </c>
      <c r="F102" s="42" t="s">
        <v>45</v>
      </c>
      <c r="G102" s="42" t="s">
        <v>46</v>
      </c>
      <c r="H102" s="42" t="s">
        <v>45</v>
      </c>
      <c r="I102" s="42" t="s">
        <v>45</v>
      </c>
      <c r="J102" s="42" t="s">
        <v>45</v>
      </c>
      <c r="K102" s="42" t="s">
        <v>45</v>
      </c>
      <c r="L102" s="42">
        <v>8</v>
      </c>
      <c r="M102" s="68" t="s">
        <v>219</v>
      </c>
      <c r="N102" s="18"/>
      <c r="O102" s="18"/>
      <c r="P102" s="55"/>
    </row>
    <row r="103" spans="1:16">
      <c r="A103" s="113"/>
      <c r="B103" s="82">
        <v>102</v>
      </c>
      <c r="C103" s="39"/>
      <c r="D103" s="39" t="s">
        <v>220</v>
      </c>
      <c r="E103" s="42" t="s">
        <v>44</v>
      </c>
      <c r="F103" s="42" t="s">
        <v>45</v>
      </c>
      <c r="G103" s="42" t="s">
        <v>46</v>
      </c>
      <c r="H103" s="42" t="s">
        <v>45</v>
      </c>
      <c r="I103" s="42" t="s">
        <v>45</v>
      </c>
      <c r="J103" s="42" t="s">
        <v>45</v>
      </c>
      <c r="K103" s="42" t="s">
        <v>45</v>
      </c>
      <c r="L103" s="42">
        <v>8</v>
      </c>
      <c r="M103" s="68" t="s">
        <v>221</v>
      </c>
      <c r="N103" s="18"/>
      <c r="O103" s="18"/>
      <c r="P103" s="55"/>
    </row>
    <row r="104" spans="1:16">
      <c r="A104" s="113"/>
      <c r="B104" s="82">
        <v>103</v>
      </c>
      <c r="C104" s="39"/>
      <c r="D104" s="39" t="s">
        <v>222</v>
      </c>
      <c r="E104" s="42" t="s">
        <v>44</v>
      </c>
      <c r="F104" s="42" t="s">
        <v>45</v>
      </c>
      <c r="G104" s="42" t="s">
        <v>46</v>
      </c>
      <c r="H104" s="42" t="s">
        <v>45</v>
      </c>
      <c r="I104" s="42" t="s">
        <v>45</v>
      </c>
      <c r="J104" s="42" t="s">
        <v>45</v>
      </c>
      <c r="K104" s="42" t="s">
        <v>45</v>
      </c>
      <c r="L104" s="42">
        <v>8</v>
      </c>
      <c r="M104" s="68" t="s">
        <v>223</v>
      </c>
      <c r="N104" s="18"/>
      <c r="O104" s="18"/>
      <c r="P104" s="55"/>
    </row>
    <row r="105" spans="1:16">
      <c r="A105" s="113"/>
      <c r="B105" s="82">
        <v>104</v>
      </c>
      <c r="C105" s="39"/>
      <c r="D105" s="39" t="s">
        <v>224</v>
      </c>
      <c r="E105" s="42" t="s">
        <v>44</v>
      </c>
      <c r="F105" s="42" t="s">
        <v>45</v>
      </c>
      <c r="G105" s="42" t="s">
        <v>46</v>
      </c>
      <c r="H105" s="42" t="s">
        <v>45</v>
      </c>
      <c r="I105" s="42" t="s">
        <v>45</v>
      </c>
      <c r="J105" s="42" t="s">
        <v>45</v>
      </c>
      <c r="K105" s="42" t="s">
        <v>45</v>
      </c>
      <c r="L105" s="42">
        <v>8</v>
      </c>
      <c r="M105" s="68" t="s">
        <v>225</v>
      </c>
      <c r="N105" s="18"/>
      <c r="O105" s="18"/>
      <c r="P105" s="55"/>
    </row>
    <row r="106" spans="1:16" ht="27">
      <c r="A106" s="113"/>
      <c r="B106" s="82">
        <v>105</v>
      </c>
      <c r="C106" s="39"/>
      <c r="D106" s="39" t="s">
        <v>226</v>
      </c>
      <c r="E106" s="42" t="s">
        <v>44</v>
      </c>
      <c r="F106" s="42" t="s">
        <v>45</v>
      </c>
      <c r="G106" s="42" t="s">
        <v>46</v>
      </c>
      <c r="H106" s="42" t="s">
        <v>45</v>
      </c>
      <c r="I106" s="42" t="s">
        <v>45</v>
      </c>
      <c r="J106" s="42" t="s">
        <v>45</v>
      </c>
      <c r="K106" s="42" t="s">
        <v>45</v>
      </c>
      <c r="L106" s="42">
        <v>8</v>
      </c>
      <c r="M106" s="68" t="s">
        <v>227</v>
      </c>
      <c r="N106" s="18"/>
      <c r="O106" s="18"/>
      <c r="P106" s="55"/>
    </row>
    <row r="107" spans="1:16">
      <c r="A107" s="113"/>
      <c r="B107" s="82">
        <v>106</v>
      </c>
      <c r="C107" s="39"/>
      <c r="D107" s="39" t="s">
        <v>228</v>
      </c>
      <c r="E107" s="42" t="s">
        <v>44</v>
      </c>
      <c r="F107" s="42" t="s">
        <v>45</v>
      </c>
      <c r="G107" s="42" t="s">
        <v>46</v>
      </c>
      <c r="H107" s="42" t="s">
        <v>45</v>
      </c>
      <c r="I107" s="42" t="s">
        <v>45</v>
      </c>
      <c r="J107" s="42" t="s">
        <v>45</v>
      </c>
      <c r="K107" s="42" t="s">
        <v>45</v>
      </c>
      <c r="L107" s="42">
        <v>8</v>
      </c>
      <c r="M107" s="68" t="s">
        <v>229</v>
      </c>
      <c r="N107" s="18"/>
      <c r="O107" s="18"/>
      <c r="P107" s="55"/>
    </row>
    <row r="108" spans="1:16" ht="27">
      <c r="A108" s="113"/>
      <c r="B108" s="82">
        <v>107</v>
      </c>
      <c r="C108" s="39"/>
      <c r="D108" s="39" t="s">
        <v>230</v>
      </c>
      <c r="E108" s="42" t="s">
        <v>44</v>
      </c>
      <c r="F108" s="42" t="s">
        <v>45</v>
      </c>
      <c r="G108" s="42" t="s">
        <v>46</v>
      </c>
      <c r="H108" s="42" t="s">
        <v>45</v>
      </c>
      <c r="I108" s="42" t="s">
        <v>45</v>
      </c>
      <c r="J108" s="42" t="s">
        <v>45</v>
      </c>
      <c r="K108" s="42" t="s">
        <v>45</v>
      </c>
      <c r="L108" s="42">
        <v>8</v>
      </c>
      <c r="M108" s="68" t="s">
        <v>231</v>
      </c>
      <c r="N108" s="18"/>
      <c r="O108" s="18"/>
      <c r="P108" s="55"/>
    </row>
    <row r="109" spans="1:16">
      <c r="A109" s="113"/>
      <c r="B109" s="82">
        <v>108</v>
      </c>
      <c r="C109" s="39"/>
      <c r="D109" s="39" t="s">
        <v>232</v>
      </c>
      <c r="E109" s="42" t="s">
        <v>44</v>
      </c>
      <c r="F109" s="42" t="s">
        <v>45</v>
      </c>
      <c r="G109" s="42" t="s">
        <v>46</v>
      </c>
      <c r="H109" s="42" t="s">
        <v>45</v>
      </c>
      <c r="I109" s="42" t="s">
        <v>45</v>
      </c>
      <c r="J109" s="42" t="s">
        <v>45</v>
      </c>
      <c r="K109" s="42" t="s">
        <v>45</v>
      </c>
      <c r="L109" s="42">
        <v>8</v>
      </c>
      <c r="M109" s="39" t="s">
        <v>232</v>
      </c>
      <c r="N109" s="69"/>
      <c r="O109" s="69"/>
      <c r="P109" s="19"/>
    </row>
    <row r="115" spans="11:12">
      <c r="K115" t="s">
        <v>233</v>
      </c>
      <c r="L115">
        <f>SUM(L2:L114)</f>
        <v>1184</v>
      </c>
    </row>
  </sheetData>
  <sortState ref="A2:R83">
    <sortCondition ref="B71"/>
  </sortState>
  <mergeCells count="5">
    <mergeCell ref="A2:A30"/>
    <mergeCell ref="A31:A48"/>
    <mergeCell ref="A49:A71"/>
    <mergeCell ref="A72:A85"/>
    <mergeCell ref="A86:A109"/>
  </mergeCells>
  <phoneticPr fontId="1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5"/>
  <sheetViews>
    <sheetView topLeftCell="A2" workbookViewId="0">
      <selection activeCell="M13" sqref="M13"/>
    </sheetView>
  </sheetViews>
  <sheetFormatPr defaultColWidth="9" defaultRowHeight="13.5"/>
  <cols>
    <col min="4" max="4" width="39" customWidth="1"/>
    <col min="13" max="13" width="77.5" customWidth="1"/>
    <col min="14" max="14" width="15" customWidth="1"/>
  </cols>
  <sheetData>
    <row r="1" spans="1:29" ht="24">
      <c r="A1" s="3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5" t="s">
        <v>32</v>
      </c>
      <c r="I1" s="5" t="s">
        <v>33</v>
      </c>
      <c r="J1" s="5" t="s">
        <v>34</v>
      </c>
      <c r="K1" s="4" t="s">
        <v>35</v>
      </c>
      <c r="L1" s="4" t="s">
        <v>36</v>
      </c>
      <c r="M1" s="4" t="s">
        <v>37</v>
      </c>
      <c r="N1" s="16" t="s">
        <v>38</v>
      </c>
      <c r="O1" s="4" t="s">
        <v>39</v>
      </c>
      <c r="P1" s="4" t="s">
        <v>40</v>
      </c>
      <c r="Q1" s="62" t="s">
        <v>41</v>
      </c>
      <c r="R1">
        <f>SUM(L2:L157)</f>
        <v>2368</v>
      </c>
    </row>
    <row r="2" spans="1:29" ht="14.25">
      <c r="A2" s="101" t="s">
        <v>42</v>
      </c>
      <c r="B2" s="11">
        <f>ROW(B1)</f>
        <v>1</v>
      </c>
      <c r="C2" s="11"/>
      <c r="D2" s="43" t="s">
        <v>234</v>
      </c>
      <c r="E2" s="13" t="s">
        <v>44</v>
      </c>
      <c r="F2" s="14" t="s">
        <v>45</v>
      </c>
      <c r="G2" s="13" t="s">
        <v>46</v>
      </c>
      <c r="H2" s="14" t="s">
        <v>45</v>
      </c>
      <c r="I2" s="14" t="s">
        <v>45</v>
      </c>
      <c r="J2" s="14" t="s">
        <v>45</v>
      </c>
      <c r="K2" s="14" t="s">
        <v>45</v>
      </c>
      <c r="L2" s="21">
        <v>16</v>
      </c>
      <c r="M2" s="45" t="s">
        <v>235</v>
      </c>
      <c r="N2" s="54"/>
      <c r="O2" s="54"/>
      <c r="P2" s="55"/>
    </row>
    <row r="3" spans="1:29">
      <c r="A3" s="102"/>
      <c r="B3" s="11">
        <f t="shared" ref="B3:B67" si="0">ROW(B2)</f>
        <v>2</v>
      </c>
      <c r="C3" s="11"/>
      <c r="D3" s="45" t="s">
        <v>48</v>
      </c>
      <c r="E3" s="13" t="s">
        <v>44</v>
      </c>
      <c r="F3" s="14" t="s">
        <v>45</v>
      </c>
      <c r="G3" s="13" t="s">
        <v>46</v>
      </c>
      <c r="H3" s="14" t="s">
        <v>45</v>
      </c>
      <c r="I3" s="14" t="s">
        <v>45</v>
      </c>
      <c r="J3" s="14" t="s">
        <v>45</v>
      </c>
      <c r="K3" s="14" t="s">
        <v>45</v>
      </c>
      <c r="L3" s="21">
        <v>16</v>
      </c>
      <c r="M3" s="45" t="s">
        <v>236</v>
      </c>
      <c r="N3" s="54"/>
      <c r="O3" s="54"/>
      <c r="P3" s="55"/>
    </row>
    <row r="4" spans="1:29">
      <c r="A4" s="102"/>
      <c r="B4" s="11">
        <f t="shared" si="0"/>
        <v>3</v>
      </c>
      <c r="C4" s="11"/>
      <c r="D4" s="45" t="s">
        <v>50</v>
      </c>
      <c r="E4" s="13" t="s">
        <v>44</v>
      </c>
      <c r="F4" s="14" t="s">
        <v>45</v>
      </c>
      <c r="G4" s="13" t="s">
        <v>46</v>
      </c>
      <c r="H4" s="14" t="s">
        <v>45</v>
      </c>
      <c r="I4" s="14" t="s">
        <v>45</v>
      </c>
      <c r="J4" s="14" t="s">
        <v>45</v>
      </c>
      <c r="K4" s="14" t="s">
        <v>45</v>
      </c>
      <c r="L4" s="21">
        <v>8</v>
      </c>
      <c r="M4" s="45"/>
      <c r="N4" s="54"/>
      <c r="O4" s="54"/>
      <c r="P4" s="55"/>
    </row>
    <row r="5" spans="1:29">
      <c r="A5" s="102"/>
      <c r="B5" s="11">
        <f t="shared" si="0"/>
        <v>4</v>
      </c>
      <c r="C5" s="11"/>
      <c r="D5" s="45" t="s">
        <v>51</v>
      </c>
      <c r="E5" s="13" t="s">
        <v>44</v>
      </c>
      <c r="F5" s="14" t="s">
        <v>45</v>
      </c>
      <c r="G5" s="13" t="s">
        <v>46</v>
      </c>
      <c r="H5" s="14" t="s">
        <v>45</v>
      </c>
      <c r="I5" s="14" t="s">
        <v>45</v>
      </c>
      <c r="J5" s="14" t="s">
        <v>45</v>
      </c>
      <c r="K5" s="14" t="s">
        <v>45</v>
      </c>
      <c r="L5" s="21">
        <v>8</v>
      </c>
      <c r="M5" s="45" t="s">
        <v>52</v>
      </c>
      <c r="N5" s="54" t="s">
        <v>53</v>
      </c>
      <c r="O5" s="54"/>
      <c r="P5" s="55"/>
    </row>
    <row r="6" spans="1:29" ht="132">
      <c r="A6" s="102"/>
      <c r="B6" s="11">
        <f t="shared" si="0"/>
        <v>5</v>
      </c>
      <c r="C6" s="11"/>
      <c r="D6" s="45" t="s">
        <v>54</v>
      </c>
      <c r="E6" s="13" t="s">
        <v>44</v>
      </c>
      <c r="F6" s="14" t="s">
        <v>45</v>
      </c>
      <c r="G6" s="13" t="s">
        <v>46</v>
      </c>
      <c r="H6" s="14" t="s">
        <v>45</v>
      </c>
      <c r="I6" s="14" t="s">
        <v>45</v>
      </c>
      <c r="J6" s="14" t="s">
        <v>45</v>
      </c>
      <c r="K6" s="14" t="s">
        <v>45</v>
      </c>
      <c r="L6" s="21">
        <v>8</v>
      </c>
      <c r="M6" s="45" t="s">
        <v>237</v>
      </c>
      <c r="N6" s="54" t="s">
        <v>56</v>
      </c>
      <c r="O6" s="54" t="s">
        <v>57</v>
      </c>
      <c r="P6" s="55"/>
    </row>
    <row r="7" spans="1:29" ht="84">
      <c r="A7" s="102"/>
      <c r="B7" s="11">
        <f t="shared" si="0"/>
        <v>6</v>
      </c>
      <c r="C7" s="11"/>
      <c r="D7" s="45" t="s">
        <v>62</v>
      </c>
      <c r="E7" s="13" t="s">
        <v>44</v>
      </c>
      <c r="F7" s="14" t="s">
        <v>45</v>
      </c>
      <c r="G7" s="13" t="s">
        <v>46</v>
      </c>
      <c r="H7" s="14" t="s">
        <v>45</v>
      </c>
      <c r="I7" s="14" t="s">
        <v>45</v>
      </c>
      <c r="J7" s="14" t="s">
        <v>45</v>
      </c>
      <c r="K7" s="14" t="s">
        <v>45</v>
      </c>
      <c r="L7" s="21">
        <v>8</v>
      </c>
      <c r="M7" s="45" t="s">
        <v>63</v>
      </c>
      <c r="N7" s="54" t="s">
        <v>56</v>
      </c>
      <c r="O7" s="54" t="s">
        <v>57</v>
      </c>
      <c r="P7" s="55"/>
    </row>
    <row r="8" spans="1:29">
      <c r="A8" s="44"/>
      <c r="B8" s="11">
        <f t="shared" si="0"/>
        <v>7</v>
      </c>
      <c r="C8" s="11"/>
      <c r="D8" s="45" t="s">
        <v>238</v>
      </c>
      <c r="E8" s="13" t="s">
        <v>44</v>
      </c>
      <c r="F8" s="14" t="s">
        <v>45</v>
      </c>
      <c r="G8" s="13" t="s">
        <v>46</v>
      </c>
      <c r="H8" s="14" t="s">
        <v>45</v>
      </c>
      <c r="I8" s="14" t="s">
        <v>45</v>
      </c>
      <c r="J8" s="14" t="s">
        <v>45</v>
      </c>
      <c r="K8" s="14" t="s">
        <v>45</v>
      </c>
      <c r="L8" s="21">
        <v>8</v>
      </c>
      <c r="M8" s="45"/>
      <c r="N8" s="54"/>
      <c r="O8" s="54"/>
      <c r="P8" s="55"/>
    </row>
    <row r="9" spans="1:29">
      <c r="A9" s="44"/>
      <c r="B9" s="11">
        <f t="shared" si="0"/>
        <v>8</v>
      </c>
      <c r="C9" s="11"/>
      <c r="D9" s="45" t="s">
        <v>238</v>
      </c>
      <c r="E9" s="13" t="s">
        <v>44</v>
      </c>
      <c r="F9" s="14" t="s">
        <v>45</v>
      </c>
      <c r="G9" s="13" t="s">
        <v>46</v>
      </c>
      <c r="H9" s="14" t="s">
        <v>45</v>
      </c>
      <c r="I9" s="14" t="s">
        <v>45</v>
      </c>
      <c r="J9" s="14" t="s">
        <v>45</v>
      </c>
      <c r="K9" s="14" t="s">
        <v>45</v>
      </c>
      <c r="L9" s="21">
        <v>8</v>
      </c>
      <c r="M9" s="45"/>
      <c r="N9" s="54"/>
      <c r="O9" s="54"/>
      <c r="P9" s="55"/>
    </row>
    <row r="10" spans="1:29" ht="14.25">
      <c r="A10" s="114" t="s">
        <v>239</v>
      </c>
      <c r="B10" s="46">
        <f t="shared" si="0"/>
        <v>9</v>
      </c>
      <c r="C10" s="46"/>
      <c r="D10" s="47" t="s">
        <v>234</v>
      </c>
      <c r="E10" s="48" t="s">
        <v>44</v>
      </c>
      <c r="F10" s="48" t="s">
        <v>45</v>
      </c>
      <c r="G10" s="48" t="s">
        <v>46</v>
      </c>
      <c r="H10" s="48" t="s">
        <v>45</v>
      </c>
      <c r="I10" s="56"/>
      <c r="J10" s="56"/>
      <c r="K10" s="56"/>
      <c r="L10" s="48">
        <v>16</v>
      </c>
      <c r="M10" s="49" t="s">
        <v>240</v>
      </c>
      <c r="N10" s="54"/>
      <c r="O10" s="54"/>
      <c r="P10" s="55"/>
    </row>
    <row r="11" spans="1:29">
      <c r="A11" s="115"/>
      <c r="B11" s="46">
        <f t="shared" si="0"/>
        <v>10</v>
      </c>
      <c r="C11" s="46"/>
      <c r="D11" s="49" t="s">
        <v>48</v>
      </c>
      <c r="E11" s="48" t="s">
        <v>44</v>
      </c>
      <c r="F11" s="48" t="s">
        <v>45</v>
      </c>
      <c r="G11" s="48" t="s">
        <v>46</v>
      </c>
      <c r="H11" s="48" t="s">
        <v>45</v>
      </c>
      <c r="I11" s="56"/>
      <c r="J11" s="56"/>
      <c r="K11" s="56"/>
      <c r="L11" s="48">
        <v>16</v>
      </c>
      <c r="M11" s="49" t="s">
        <v>241</v>
      </c>
      <c r="N11" s="54"/>
      <c r="O11" s="54"/>
      <c r="P11" s="55"/>
    </row>
    <row r="12" spans="1:29">
      <c r="A12" s="115"/>
      <c r="B12" s="46">
        <f t="shared" si="0"/>
        <v>11</v>
      </c>
      <c r="C12" s="46"/>
      <c r="D12" s="49" t="s">
        <v>109</v>
      </c>
      <c r="E12" s="48" t="s">
        <v>44</v>
      </c>
      <c r="F12" s="48"/>
      <c r="G12" s="48" t="s">
        <v>46</v>
      </c>
      <c r="H12" s="48"/>
      <c r="I12" s="56"/>
      <c r="J12" s="56"/>
      <c r="K12" s="56"/>
      <c r="L12" s="48">
        <v>8</v>
      </c>
      <c r="M12" s="49"/>
      <c r="N12" s="54"/>
      <c r="O12" s="54"/>
      <c r="P12" s="55"/>
    </row>
    <row r="13" spans="1:29">
      <c r="A13" s="115"/>
      <c r="B13" s="46">
        <f t="shared" si="0"/>
        <v>12</v>
      </c>
      <c r="C13" s="46"/>
      <c r="D13" s="47" t="s">
        <v>242</v>
      </c>
      <c r="E13" s="50" t="s">
        <v>111</v>
      </c>
      <c r="F13" s="50"/>
      <c r="G13" s="50" t="s">
        <v>46</v>
      </c>
      <c r="H13" s="50"/>
      <c r="I13" s="57"/>
      <c r="J13" s="57"/>
      <c r="K13" s="57"/>
      <c r="L13" s="57">
        <v>8</v>
      </c>
      <c r="M13" s="58" t="s">
        <v>693</v>
      </c>
      <c r="N13" s="59"/>
      <c r="O13" s="59"/>
      <c r="P13" s="60"/>
      <c r="AA13" s="54"/>
      <c r="AB13" s="54"/>
      <c r="AC13" s="55"/>
    </row>
    <row r="14" spans="1:29">
      <c r="A14" s="115"/>
      <c r="B14" s="46">
        <f t="shared" si="0"/>
        <v>13</v>
      </c>
      <c r="C14" s="46"/>
      <c r="D14" s="47" t="s">
        <v>243</v>
      </c>
      <c r="E14" s="48" t="s">
        <v>44</v>
      </c>
      <c r="F14" s="48"/>
      <c r="G14" s="48" t="s">
        <v>46</v>
      </c>
      <c r="H14" s="48"/>
      <c r="I14" s="48"/>
      <c r="J14" s="48"/>
      <c r="K14" s="48"/>
      <c r="L14" s="48">
        <v>16</v>
      </c>
      <c r="M14" s="49" t="s">
        <v>244</v>
      </c>
    </row>
    <row r="15" spans="1:29" ht="24">
      <c r="A15" s="115"/>
      <c r="B15" s="46">
        <f t="shared" si="0"/>
        <v>14</v>
      </c>
      <c r="C15" s="46"/>
      <c r="D15" s="47" t="s">
        <v>245</v>
      </c>
      <c r="E15" s="48" t="s">
        <v>44</v>
      </c>
      <c r="F15" s="48"/>
      <c r="G15" s="48" t="s">
        <v>46</v>
      </c>
      <c r="H15" s="48"/>
      <c r="I15" s="56"/>
      <c r="J15" s="56"/>
      <c r="K15" s="56"/>
      <c r="L15" s="48">
        <v>16</v>
      </c>
      <c r="M15" s="49" t="s">
        <v>246</v>
      </c>
      <c r="N15" s="54" t="s">
        <v>247</v>
      </c>
      <c r="O15" s="54"/>
      <c r="P15" s="55"/>
    </row>
    <row r="16" spans="1:29" ht="24">
      <c r="A16" s="115"/>
      <c r="B16" s="46">
        <f t="shared" si="0"/>
        <v>15</v>
      </c>
      <c r="C16" s="46"/>
      <c r="D16" s="47" t="s">
        <v>248</v>
      </c>
      <c r="E16" s="48" t="s">
        <v>44</v>
      </c>
      <c r="F16" s="48"/>
      <c r="G16" s="48" t="s">
        <v>46</v>
      </c>
      <c r="H16" s="48"/>
      <c r="I16" s="56"/>
      <c r="J16" s="56"/>
      <c r="K16" s="56"/>
      <c r="L16" s="48">
        <v>16</v>
      </c>
      <c r="M16" s="49" t="s">
        <v>249</v>
      </c>
      <c r="N16" s="54" t="s">
        <v>247</v>
      </c>
      <c r="O16" s="54"/>
      <c r="P16" s="55"/>
    </row>
    <row r="17" spans="1:18" ht="24">
      <c r="A17" s="115"/>
      <c r="B17" s="46">
        <f t="shared" si="0"/>
        <v>16</v>
      </c>
      <c r="C17" s="46"/>
      <c r="D17" s="47" t="s">
        <v>250</v>
      </c>
      <c r="E17" s="48" t="s">
        <v>44</v>
      </c>
      <c r="F17" s="48"/>
      <c r="G17" s="48" t="s">
        <v>46</v>
      </c>
      <c r="H17" s="48"/>
      <c r="I17" s="56"/>
      <c r="J17" s="56"/>
      <c r="K17" s="56"/>
      <c r="L17" s="48">
        <v>16</v>
      </c>
      <c r="M17" s="49" t="s">
        <v>251</v>
      </c>
      <c r="N17" s="54" t="s">
        <v>247</v>
      </c>
      <c r="O17" s="54"/>
      <c r="P17" s="55"/>
    </row>
    <row r="18" spans="1:18" ht="24">
      <c r="A18" s="115"/>
      <c r="B18" s="46">
        <f t="shared" si="0"/>
        <v>17</v>
      </c>
      <c r="C18" s="46"/>
      <c r="D18" s="47" t="s">
        <v>252</v>
      </c>
      <c r="E18" s="48" t="s">
        <v>44</v>
      </c>
      <c r="F18" s="48"/>
      <c r="G18" s="48" t="s">
        <v>46</v>
      </c>
      <c r="H18" s="48"/>
      <c r="I18" s="56"/>
      <c r="J18" s="56"/>
      <c r="K18" s="56"/>
      <c r="L18" s="48">
        <v>16</v>
      </c>
      <c r="M18" s="49" t="s">
        <v>253</v>
      </c>
      <c r="N18" s="54" t="s">
        <v>247</v>
      </c>
      <c r="O18" s="54"/>
      <c r="P18" s="55"/>
    </row>
    <row r="19" spans="1:18" ht="60">
      <c r="A19" s="115"/>
      <c r="B19" s="46">
        <f t="shared" si="0"/>
        <v>18</v>
      </c>
      <c r="C19" s="46"/>
      <c r="D19" s="47" t="s">
        <v>254</v>
      </c>
      <c r="E19" s="48" t="s">
        <v>44</v>
      </c>
      <c r="F19" s="48"/>
      <c r="G19" s="48" t="s">
        <v>46</v>
      </c>
      <c r="H19" s="48"/>
      <c r="I19" s="56"/>
      <c r="J19" s="56"/>
      <c r="K19" s="56"/>
      <c r="L19" s="48">
        <v>16</v>
      </c>
      <c r="M19" s="49" t="s">
        <v>255</v>
      </c>
      <c r="N19" s="54" t="s">
        <v>56</v>
      </c>
      <c r="O19" s="54" t="s">
        <v>256</v>
      </c>
      <c r="P19" s="55"/>
    </row>
    <row r="20" spans="1:18" ht="24">
      <c r="A20" s="115"/>
      <c r="B20" s="46">
        <f t="shared" si="0"/>
        <v>19</v>
      </c>
      <c r="C20" s="46"/>
      <c r="D20" s="47" t="s">
        <v>257</v>
      </c>
      <c r="E20" s="48" t="s">
        <v>111</v>
      </c>
      <c r="F20" s="48"/>
      <c r="G20" s="48" t="s">
        <v>46</v>
      </c>
      <c r="H20" s="48"/>
      <c r="I20" s="56"/>
      <c r="J20" s="56"/>
      <c r="K20" s="56"/>
      <c r="L20" s="56">
        <v>16</v>
      </c>
      <c r="M20" s="49" t="s">
        <v>258</v>
      </c>
      <c r="N20" s="54" t="s">
        <v>247</v>
      </c>
      <c r="O20" s="54"/>
      <c r="P20" s="55"/>
    </row>
    <row r="21" spans="1:18">
      <c r="A21" s="51"/>
      <c r="B21" s="46">
        <f t="shared" si="0"/>
        <v>20</v>
      </c>
      <c r="C21" s="52"/>
      <c r="D21" s="47" t="s">
        <v>259</v>
      </c>
      <c r="E21" s="50" t="s">
        <v>44</v>
      </c>
      <c r="F21" s="50"/>
      <c r="G21" s="50" t="s">
        <v>46</v>
      </c>
      <c r="H21" s="50"/>
      <c r="I21" s="57"/>
      <c r="J21" s="57"/>
      <c r="K21" s="57"/>
      <c r="L21" s="57">
        <v>16</v>
      </c>
      <c r="M21" s="58" t="s">
        <v>260</v>
      </c>
      <c r="N21" s="59"/>
      <c r="O21" s="59"/>
      <c r="P21" s="60"/>
      <c r="Q21" s="63"/>
      <c r="R21" s="63"/>
    </row>
    <row r="22" spans="1:18">
      <c r="A22" s="51"/>
      <c r="B22" s="46">
        <f t="shared" si="0"/>
        <v>21</v>
      </c>
      <c r="C22" s="52"/>
      <c r="D22" s="47" t="s">
        <v>261</v>
      </c>
      <c r="E22" s="50" t="s">
        <v>44</v>
      </c>
      <c r="F22" s="50"/>
      <c r="G22" s="50" t="s">
        <v>46</v>
      </c>
      <c r="H22" s="50"/>
      <c r="I22" s="57"/>
      <c r="J22" s="57"/>
      <c r="K22" s="57"/>
      <c r="L22" s="57">
        <v>16</v>
      </c>
      <c r="M22" s="58" t="s">
        <v>262</v>
      </c>
      <c r="N22" s="59"/>
      <c r="O22" s="59"/>
      <c r="P22" s="60"/>
      <c r="Q22" s="63"/>
      <c r="R22" s="63"/>
    </row>
    <row r="23" spans="1:18" ht="24">
      <c r="A23" s="51"/>
      <c r="B23" s="46">
        <f t="shared" si="0"/>
        <v>22</v>
      </c>
      <c r="C23" s="52"/>
      <c r="D23" s="47" t="s">
        <v>263</v>
      </c>
      <c r="E23" s="48" t="s">
        <v>44</v>
      </c>
      <c r="F23" s="48"/>
      <c r="G23" s="48" t="s">
        <v>46</v>
      </c>
      <c r="H23" s="48"/>
      <c r="I23" s="56"/>
      <c r="J23" s="56"/>
      <c r="K23" s="56"/>
      <c r="L23" s="48">
        <v>8</v>
      </c>
      <c r="M23" s="49" t="s">
        <v>264</v>
      </c>
      <c r="N23" s="54" t="s">
        <v>247</v>
      </c>
      <c r="O23" s="54"/>
      <c r="P23" s="55"/>
      <c r="Q23" s="63"/>
      <c r="R23" s="63"/>
    </row>
    <row r="24" spans="1:18" ht="24">
      <c r="A24" s="51"/>
      <c r="B24" s="46">
        <f t="shared" si="0"/>
        <v>23</v>
      </c>
      <c r="C24" s="52"/>
      <c r="D24" s="47" t="s">
        <v>265</v>
      </c>
      <c r="E24" s="50" t="s">
        <v>111</v>
      </c>
      <c r="F24" s="50"/>
      <c r="G24" s="50" t="s">
        <v>46</v>
      </c>
      <c r="H24" s="50"/>
      <c r="I24" s="57"/>
      <c r="J24" s="57"/>
      <c r="K24" s="57"/>
      <c r="L24" s="57">
        <v>8</v>
      </c>
      <c r="M24" s="58" t="s">
        <v>266</v>
      </c>
      <c r="N24" s="59" t="s">
        <v>247</v>
      </c>
      <c r="O24" s="59"/>
      <c r="P24" s="60"/>
      <c r="Q24" s="63"/>
      <c r="R24" s="63"/>
    </row>
    <row r="25" spans="1:18" ht="24">
      <c r="A25" s="51"/>
      <c r="B25" s="46">
        <f t="shared" si="0"/>
        <v>24</v>
      </c>
      <c r="C25" s="52"/>
      <c r="D25" s="47" t="s">
        <v>267</v>
      </c>
      <c r="E25" s="50" t="s">
        <v>111</v>
      </c>
      <c r="F25" s="50"/>
      <c r="G25" s="50" t="s">
        <v>46</v>
      </c>
      <c r="H25" s="50"/>
      <c r="I25" s="57"/>
      <c r="J25" s="57"/>
      <c r="K25" s="57"/>
      <c r="L25" s="57">
        <v>8</v>
      </c>
      <c r="M25" s="58" t="s">
        <v>268</v>
      </c>
      <c r="N25" s="59" t="s">
        <v>247</v>
      </c>
      <c r="O25" s="59"/>
      <c r="P25" s="60"/>
      <c r="Q25" s="63"/>
      <c r="R25" s="63"/>
    </row>
    <row r="26" spans="1:18" ht="24">
      <c r="A26" s="51"/>
      <c r="B26" s="46">
        <f t="shared" si="0"/>
        <v>25</v>
      </c>
      <c r="C26" s="52"/>
      <c r="D26" s="47" t="s">
        <v>269</v>
      </c>
      <c r="E26" s="50" t="s">
        <v>44</v>
      </c>
      <c r="F26" s="50"/>
      <c r="G26" s="50" t="s">
        <v>270</v>
      </c>
      <c r="H26" s="50"/>
      <c r="I26" s="57"/>
      <c r="J26" s="57"/>
      <c r="K26" s="57"/>
      <c r="L26" s="57">
        <v>8</v>
      </c>
      <c r="M26" s="58" t="s">
        <v>271</v>
      </c>
      <c r="N26" s="59"/>
      <c r="O26" s="59"/>
      <c r="P26" s="60"/>
      <c r="Q26" s="63"/>
      <c r="R26" s="63"/>
    </row>
    <row r="27" spans="1:18">
      <c r="A27" s="51"/>
      <c r="B27" s="46">
        <f t="shared" si="0"/>
        <v>26</v>
      </c>
      <c r="C27" s="52"/>
      <c r="D27" s="47" t="s">
        <v>272</v>
      </c>
      <c r="E27" s="50" t="s">
        <v>44</v>
      </c>
      <c r="F27" s="50"/>
      <c r="G27" s="50" t="s">
        <v>270</v>
      </c>
      <c r="H27" s="50"/>
      <c r="I27" s="57"/>
      <c r="J27" s="57"/>
      <c r="K27" s="57"/>
      <c r="L27" s="57">
        <v>8</v>
      </c>
      <c r="M27" s="58" t="s">
        <v>273</v>
      </c>
      <c r="N27" s="59"/>
      <c r="O27" s="59"/>
      <c r="P27" s="60"/>
      <c r="Q27" s="63"/>
      <c r="R27" s="63"/>
    </row>
    <row r="28" spans="1:18">
      <c r="A28" s="51"/>
      <c r="B28" s="46">
        <f t="shared" si="0"/>
        <v>27</v>
      </c>
      <c r="C28" s="52"/>
      <c r="D28" s="47" t="s">
        <v>274</v>
      </c>
      <c r="E28" s="50" t="s">
        <v>44</v>
      </c>
      <c r="F28" s="50"/>
      <c r="G28" s="50" t="s">
        <v>270</v>
      </c>
      <c r="H28" s="50"/>
      <c r="I28" s="57"/>
      <c r="J28" s="57"/>
      <c r="K28" s="57"/>
      <c r="L28" s="57">
        <v>8</v>
      </c>
      <c r="M28" s="58" t="s">
        <v>275</v>
      </c>
      <c r="N28" s="59"/>
      <c r="O28" s="59"/>
      <c r="P28" s="60"/>
      <c r="Q28" s="63"/>
      <c r="R28" s="63"/>
    </row>
    <row r="29" spans="1:18">
      <c r="A29" s="51"/>
      <c r="B29" s="46">
        <f t="shared" si="0"/>
        <v>28</v>
      </c>
      <c r="C29" s="52"/>
      <c r="D29" s="47" t="s">
        <v>276</v>
      </c>
      <c r="E29" s="50" t="s">
        <v>44</v>
      </c>
      <c r="F29" s="50"/>
      <c r="G29" s="50" t="s">
        <v>270</v>
      </c>
      <c r="H29" s="50"/>
      <c r="I29" s="57"/>
      <c r="J29" s="57"/>
      <c r="K29" s="57"/>
      <c r="L29" s="57">
        <v>8</v>
      </c>
      <c r="M29" s="58" t="s">
        <v>277</v>
      </c>
      <c r="N29" s="59"/>
      <c r="O29" s="59"/>
      <c r="P29" s="60"/>
      <c r="Q29" s="63"/>
      <c r="R29" s="63"/>
    </row>
    <row r="30" spans="1:18">
      <c r="A30" s="51"/>
      <c r="B30" s="46">
        <f t="shared" si="0"/>
        <v>29</v>
      </c>
      <c r="C30" s="52"/>
      <c r="D30" s="47" t="s">
        <v>278</v>
      </c>
      <c r="E30" s="50" t="s">
        <v>44</v>
      </c>
      <c r="F30" s="50"/>
      <c r="G30" s="50" t="s">
        <v>46</v>
      </c>
      <c r="H30" s="50"/>
      <c r="I30" s="57"/>
      <c r="J30" s="57"/>
      <c r="K30" s="57"/>
      <c r="L30" s="57">
        <v>8</v>
      </c>
      <c r="M30" s="58" t="s">
        <v>279</v>
      </c>
      <c r="N30" s="59"/>
      <c r="O30" s="59"/>
      <c r="P30" s="60"/>
      <c r="Q30" s="63"/>
      <c r="R30" s="63"/>
    </row>
    <row r="31" spans="1:18">
      <c r="A31" s="51"/>
      <c r="B31" s="46">
        <f t="shared" si="0"/>
        <v>30</v>
      </c>
      <c r="C31" s="52"/>
      <c r="D31" s="47" t="s">
        <v>280</v>
      </c>
      <c r="E31" s="50" t="s">
        <v>44</v>
      </c>
      <c r="F31" s="50"/>
      <c r="G31" s="50" t="s">
        <v>46</v>
      </c>
      <c r="H31" s="50"/>
      <c r="I31" s="57"/>
      <c r="J31" s="57"/>
      <c r="K31" s="57"/>
      <c r="L31" s="57">
        <v>8</v>
      </c>
      <c r="M31" s="58" t="s">
        <v>281</v>
      </c>
      <c r="N31" s="59"/>
      <c r="O31" s="59"/>
      <c r="P31" s="60"/>
      <c r="Q31" s="63"/>
      <c r="R31" s="63"/>
    </row>
    <row r="32" spans="1:18">
      <c r="A32" s="51"/>
      <c r="B32" s="46">
        <f t="shared" si="0"/>
        <v>31</v>
      </c>
      <c r="C32" s="52"/>
      <c r="D32" s="47" t="s">
        <v>282</v>
      </c>
      <c r="E32" s="50" t="s">
        <v>44</v>
      </c>
      <c r="F32" s="50"/>
      <c r="G32" s="50" t="s">
        <v>46</v>
      </c>
      <c r="H32" s="50"/>
      <c r="I32" s="57"/>
      <c r="J32" s="57"/>
      <c r="K32" s="57"/>
      <c r="L32" s="57">
        <v>8</v>
      </c>
      <c r="M32" s="58" t="s">
        <v>283</v>
      </c>
      <c r="N32" s="59"/>
      <c r="O32" s="59"/>
      <c r="P32" s="60"/>
      <c r="Q32" s="63"/>
      <c r="R32" s="63"/>
    </row>
    <row r="33" spans="1:18">
      <c r="A33" s="51"/>
      <c r="B33" s="46">
        <f t="shared" si="0"/>
        <v>32</v>
      </c>
      <c r="C33" s="52"/>
      <c r="D33" s="47" t="s">
        <v>284</v>
      </c>
      <c r="E33" s="50" t="s">
        <v>44</v>
      </c>
      <c r="F33" s="50"/>
      <c r="G33" s="50" t="s">
        <v>46</v>
      </c>
      <c r="H33" s="50"/>
      <c r="I33" s="57"/>
      <c r="J33" s="57"/>
      <c r="K33" s="57"/>
      <c r="L33" s="57">
        <v>8</v>
      </c>
      <c r="M33" s="58" t="s">
        <v>285</v>
      </c>
      <c r="N33" s="59"/>
      <c r="O33" s="59"/>
      <c r="P33" s="60"/>
      <c r="Q33" s="63"/>
      <c r="R33" s="63"/>
    </row>
    <row r="34" spans="1:18">
      <c r="A34" s="51"/>
      <c r="B34" s="46">
        <f t="shared" si="0"/>
        <v>33</v>
      </c>
      <c r="C34" s="52"/>
      <c r="D34" s="47" t="s">
        <v>286</v>
      </c>
      <c r="E34" s="50" t="s">
        <v>44</v>
      </c>
      <c r="F34" s="50"/>
      <c r="G34" s="50" t="s">
        <v>46</v>
      </c>
      <c r="H34" s="50"/>
      <c r="I34" s="57"/>
      <c r="J34" s="57"/>
      <c r="K34" s="57"/>
      <c r="L34" s="57">
        <v>8</v>
      </c>
      <c r="M34" s="58" t="s">
        <v>287</v>
      </c>
      <c r="N34" s="59"/>
      <c r="O34" s="59"/>
      <c r="P34" s="60"/>
      <c r="Q34" s="63"/>
      <c r="R34" s="63"/>
    </row>
    <row r="35" spans="1:18">
      <c r="A35" s="51"/>
      <c r="B35" s="46">
        <f t="shared" si="0"/>
        <v>34</v>
      </c>
      <c r="C35" s="52"/>
      <c r="D35" s="47" t="s">
        <v>288</v>
      </c>
      <c r="E35" s="50" t="s">
        <v>44</v>
      </c>
      <c r="F35" s="50"/>
      <c r="G35" s="50" t="s">
        <v>46</v>
      </c>
      <c r="H35" s="50"/>
      <c r="I35" s="57"/>
      <c r="J35" s="57"/>
      <c r="K35" s="57"/>
      <c r="L35" s="57">
        <v>8</v>
      </c>
      <c r="M35" s="58" t="s">
        <v>289</v>
      </c>
      <c r="N35" s="59"/>
      <c r="O35" s="59"/>
      <c r="P35" s="60"/>
      <c r="Q35" s="63"/>
      <c r="R35" s="63"/>
    </row>
    <row r="36" spans="1:18" ht="14.25">
      <c r="A36" s="116" t="s">
        <v>290</v>
      </c>
      <c r="B36" s="11">
        <f t="shared" si="0"/>
        <v>35</v>
      </c>
      <c r="C36" s="11"/>
      <c r="D36" s="53" t="s">
        <v>234</v>
      </c>
      <c r="E36" s="13" t="s">
        <v>44</v>
      </c>
      <c r="F36" s="14" t="s">
        <v>45</v>
      </c>
      <c r="G36" s="13" t="s">
        <v>46</v>
      </c>
      <c r="H36" s="14" t="s">
        <v>45</v>
      </c>
      <c r="I36" s="14" t="s">
        <v>45</v>
      </c>
      <c r="J36" s="14" t="s">
        <v>45</v>
      </c>
      <c r="K36" s="14" t="s">
        <v>45</v>
      </c>
      <c r="L36" s="13">
        <v>16</v>
      </c>
      <c r="M36" s="45" t="s">
        <v>291</v>
      </c>
      <c r="N36" s="54"/>
      <c r="O36" s="54"/>
      <c r="P36" s="55"/>
    </row>
    <row r="37" spans="1:18">
      <c r="A37" s="116"/>
      <c r="B37" s="11">
        <f t="shared" si="0"/>
        <v>36</v>
      </c>
      <c r="C37" s="11"/>
      <c r="D37" s="45" t="s">
        <v>48</v>
      </c>
      <c r="E37" s="13" t="s">
        <v>44</v>
      </c>
      <c r="F37" s="14" t="s">
        <v>45</v>
      </c>
      <c r="G37" s="13" t="s">
        <v>46</v>
      </c>
      <c r="H37" s="14" t="s">
        <v>45</v>
      </c>
      <c r="I37" s="14" t="s">
        <v>45</v>
      </c>
      <c r="J37" s="14" t="s">
        <v>45</v>
      </c>
      <c r="K37" s="14" t="s">
        <v>45</v>
      </c>
      <c r="L37" s="13">
        <v>16</v>
      </c>
      <c r="M37" s="45" t="s">
        <v>292</v>
      </c>
      <c r="N37" s="54"/>
      <c r="O37" s="54"/>
      <c r="P37" s="55"/>
    </row>
    <row r="38" spans="1:18">
      <c r="A38" s="116"/>
      <c r="B38" s="11">
        <f t="shared" si="0"/>
        <v>37</v>
      </c>
      <c r="C38" s="11"/>
      <c r="D38" s="45" t="s">
        <v>109</v>
      </c>
      <c r="E38" s="13" t="s">
        <v>44</v>
      </c>
      <c r="F38" s="14" t="s">
        <v>45</v>
      </c>
      <c r="G38" s="13" t="s">
        <v>46</v>
      </c>
      <c r="H38" s="14" t="s">
        <v>45</v>
      </c>
      <c r="I38" s="14" t="s">
        <v>45</v>
      </c>
      <c r="J38" s="14" t="s">
        <v>45</v>
      </c>
      <c r="K38" s="14" t="s">
        <v>45</v>
      </c>
      <c r="L38" s="13">
        <v>8</v>
      </c>
      <c r="M38" s="45"/>
      <c r="N38" s="54"/>
      <c r="O38" s="54"/>
      <c r="P38" s="55"/>
    </row>
    <row r="39" spans="1:18">
      <c r="A39" s="116"/>
      <c r="B39" s="11">
        <f t="shared" si="0"/>
        <v>38</v>
      </c>
      <c r="C39" s="11"/>
      <c r="D39" s="45" t="s">
        <v>243</v>
      </c>
      <c r="E39" s="13" t="s">
        <v>44</v>
      </c>
      <c r="F39" s="13" t="s">
        <v>45</v>
      </c>
      <c r="G39" s="13" t="s">
        <v>46</v>
      </c>
      <c r="H39" s="13" t="s">
        <v>45</v>
      </c>
      <c r="I39" s="13" t="s">
        <v>45</v>
      </c>
      <c r="J39" s="13" t="s">
        <v>45</v>
      </c>
      <c r="K39" s="13" t="s">
        <v>45</v>
      </c>
      <c r="L39" s="13">
        <v>16</v>
      </c>
      <c r="M39" s="45" t="s">
        <v>244</v>
      </c>
      <c r="N39" s="54"/>
      <c r="O39" s="54"/>
      <c r="P39" s="55"/>
    </row>
    <row r="40" spans="1:18">
      <c r="A40" s="116"/>
      <c r="B40" s="11">
        <f t="shared" si="0"/>
        <v>39</v>
      </c>
      <c r="C40" s="11"/>
      <c r="D40" s="45" t="s">
        <v>293</v>
      </c>
      <c r="E40" s="13" t="s">
        <v>44</v>
      </c>
      <c r="F40" s="14" t="s">
        <v>45</v>
      </c>
      <c r="G40" s="13" t="s">
        <v>46</v>
      </c>
      <c r="H40" s="14" t="s">
        <v>45</v>
      </c>
      <c r="I40" s="14" t="s">
        <v>45</v>
      </c>
      <c r="J40" s="14" t="s">
        <v>45</v>
      </c>
      <c r="K40" s="14" t="s">
        <v>45</v>
      </c>
      <c r="L40" s="61">
        <v>8</v>
      </c>
      <c r="M40" s="45" t="s">
        <v>294</v>
      </c>
      <c r="N40" s="55"/>
      <c r="O40" s="55"/>
      <c r="P40" s="55"/>
    </row>
    <row r="41" spans="1:18">
      <c r="A41" s="116"/>
      <c r="B41" s="11">
        <f t="shared" si="0"/>
        <v>40</v>
      </c>
      <c r="C41" s="11"/>
      <c r="D41" s="45" t="s">
        <v>295</v>
      </c>
      <c r="E41" s="13" t="s">
        <v>44</v>
      </c>
      <c r="F41" s="14" t="s">
        <v>45</v>
      </c>
      <c r="G41" s="13" t="s">
        <v>46</v>
      </c>
      <c r="H41" s="14" t="s">
        <v>45</v>
      </c>
      <c r="I41" s="14" t="s">
        <v>45</v>
      </c>
      <c r="J41" s="14" t="s">
        <v>45</v>
      </c>
      <c r="K41" s="14" t="s">
        <v>45</v>
      </c>
      <c r="L41" s="61">
        <v>8</v>
      </c>
      <c r="M41" s="45" t="s">
        <v>296</v>
      </c>
      <c r="N41" s="55"/>
      <c r="O41" s="55"/>
      <c r="P41" s="55"/>
    </row>
    <row r="42" spans="1:18">
      <c r="A42" s="116"/>
      <c r="B42" s="11">
        <f t="shared" si="0"/>
        <v>41</v>
      </c>
      <c r="C42" s="11"/>
      <c r="D42" s="45" t="s">
        <v>297</v>
      </c>
      <c r="E42" s="13" t="s">
        <v>44</v>
      </c>
      <c r="F42" s="14" t="s">
        <v>45</v>
      </c>
      <c r="G42" s="13" t="s">
        <v>46</v>
      </c>
      <c r="H42" s="14" t="s">
        <v>45</v>
      </c>
      <c r="I42" s="14" t="s">
        <v>45</v>
      </c>
      <c r="J42" s="14" t="s">
        <v>45</v>
      </c>
      <c r="K42" s="14" t="s">
        <v>45</v>
      </c>
      <c r="L42" s="61">
        <v>8</v>
      </c>
      <c r="M42" s="45" t="s">
        <v>298</v>
      </c>
      <c r="N42" s="55"/>
      <c r="O42" s="55"/>
      <c r="P42" s="55"/>
    </row>
    <row r="43" spans="1:18">
      <c r="A43" s="116"/>
      <c r="B43" s="11">
        <f t="shared" si="0"/>
        <v>42</v>
      </c>
      <c r="C43" s="11"/>
      <c r="D43" s="45" t="s">
        <v>299</v>
      </c>
      <c r="E43" s="13" t="s">
        <v>44</v>
      </c>
      <c r="F43" s="14" t="s">
        <v>45</v>
      </c>
      <c r="G43" s="13" t="s">
        <v>46</v>
      </c>
      <c r="H43" s="14" t="s">
        <v>45</v>
      </c>
      <c r="I43" s="14" t="s">
        <v>45</v>
      </c>
      <c r="J43" s="14" t="s">
        <v>45</v>
      </c>
      <c r="K43" s="14" t="s">
        <v>45</v>
      </c>
      <c r="L43" s="61">
        <v>8</v>
      </c>
      <c r="M43" s="45" t="s">
        <v>300</v>
      </c>
      <c r="N43" s="55"/>
      <c r="O43" s="55"/>
      <c r="P43" s="55"/>
    </row>
    <row r="44" spans="1:18">
      <c r="A44" s="116"/>
      <c r="B44" s="11">
        <f t="shared" si="0"/>
        <v>43</v>
      </c>
      <c r="C44" s="11"/>
      <c r="D44" s="45" t="s">
        <v>301</v>
      </c>
      <c r="E44" s="13" t="s">
        <v>44</v>
      </c>
      <c r="F44" s="14" t="s">
        <v>45</v>
      </c>
      <c r="G44" s="13" t="s">
        <v>46</v>
      </c>
      <c r="H44" s="14" t="s">
        <v>45</v>
      </c>
      <c r="I44" s="14" t="s">
        <v>45</v>
      </c>
      <c r="J44" s="14" t="s">
        <v>45</v>
      </c>
      <c r="K44" s="14" t="s">
        <v>45</v>
      </c>
      <c r="L44" s="61">
        <v>8</v>
      </c>
      <c r="M44" s="45" t="s">
        <v>302</v>
      </c>
      <c r="N44" s="55"/>
      <c r="O44" s="55"/>
      <c r="P44" s="55"/>
    </row>
    <row r="45" spans="1:18">
      <c r="A45" s="116"/>
      <c r="B45" s="11">
        <f t="shared" si="0"/>
        <v>44</v>
      </c>
      <c r="C45" s="11"/>
      <c r="D45" s="45" t="s">
        <v>303</v>
      </c>
      <c r="E45" s="13" t="s">
        <v>44</v>
      </c>
      <c r="F45" s="14" t="s">
        <v>45</v>
      </c>
      <c r="G45" s="13" t="s">
        <v>46</v>
      </c>
      <c r="H45" s="14" t="s">
        <v>45</v>
      </c>
      <c r="I45" s="14" t="s">
        <v>45</v>
      </c>
      <c r="J45" s="14" t="s">
        <v>45</v>
      </c>
      <c r="K45" s="14" t="s">
        <v>45</v>
      </c>
      <c r="L45" s="61">
        <v>8</v>
      </c>
      <c r="M45" s="45" t="s">
        <v>304</v>
      </c>
      <c r="N45" s="55"/>
      <c r="O45" s="55"/>
      <c r="P45" s="55"/>
    </row>
    <row r="46" spans="1:18">
      <c r="A46" s="116"/>
      <c r="B46" s="11">
        <f t="shared" si="0"/>
        <v>45</v>
      </c>
      <c r="C46" s="11"/>
      <c r="D46" s="45" t="s">
        <v>305</v>
      </c>
      <c r="E46" s="13" t="s">
        <v>44</v>
      </c>
      <c r="F46" s="14" t="s">
        <v>45</v>
      </c>
      <c r="G46" s="13" t="s">
        <v>46</v>
      </c>
      <c r="H46" s="14" t="s">
        <v>45</v>
      </c>
      <c r="I46" s="14" t="s">
        <v>45</v>
      </c>
      <c r="J46" s="14" t="s">
        <v>45</v>
      </c>
      <c r="K46" s="14" t="s">
        <v>45</v>
      </c>
      <c r="L46" s="61">
        <v>8</v>
      </c>
      <c r="M46" s="45" t="s">
        <v>306</v>
      </c>
      <c r="N46" s="55"/>
      <c r="O46" s="55"/>
      <c r="P46" s="55"/>
    </row>
    <row r="47" spans="1:18">
      <c r="A47" s="116"/>
      <c r="B47" s="11">
        <f t="shared" si="0"/>
        <v>46</v>
      </c>
      <c r="C47" s="11"/>
      <c r="D47" s="45" t="s">
        <v>307</v>
      </c>
      <c r="E47" s="13" t="s">
        <v>44</v>
      </c>
      <c r="F47" s="14" t="s">
        <v>45</v>
      </c>
      <c r="G47" s="13" t="s">
        <v>46</v>
      </c>
      <c r="H47" s="14" t="s">
        <v>45</v>
      </c>
      <c r="I47" s="14" t="s">
        <v>45</v>
      </c>
      <c r="J47" s="14" t="s">
        <v>45</v>
      </c>
      <c r="K47" s="14" t="s">
        <v>45</v>
      </c>
      <c r="L47" s="61">
        <v>8</v>
      </c>
      <c r="M47" s="45" t="s">
        <v>308</v>
      </c>
      <c r="N47" s="55"/>
      <c r="O47" s="55"/>
      <c r="P47" s="55"/>
    </row>
    <row r="48" spans="1:18">
      <c r="A48" s="116"/>
      <c r="B48" s="11">
        <f t="shared" si="0"/>
        <v>47</v>
      </c>
      <c r="C48" s="11"/>
      <c r="D48" s="45" t="s">
        <v>309</v>
      </c>
      <c r="E48" s="13" t="s">
        <v>44</v>
      </c>
      <c r="F48" s="14" t="s">
        <v>45</v>
      </c>
      <c r="G48" s="13" t="s">
        <v>46</v>
      </c>
      <c r="H48" s="14" t="s">
        <v>45</v>
      </c>
      <c r="I48" s="14" t="s">
        <v>45</v>
      </c>
      <c r="J48" s="14" t="s">
        <v>45</v>
      </c>
      <c r="K48" s="14" t="s">
        <v>45</v>
      </c>
      <c r="L48" s="61">
        <v>8</v>
      </c>
      <c r="M48" s="45" t="s">
        <v>310</v>
      </c>
      <c r="N48" s="55"/>
      <c r="O48" s="55"/>
      <c r="P48" s="55"/>
    </row>
    <row r="49" spans="1:16">
      <c r="A49" s="116"/>
      <c r="B49" s="11">
        <f t="shared" si="0"/>
        <v>48</v>
      </c>
      <c r="C49" s="11"/>
      <c r="D49" s="45" t="s">
        <v>311</v>
      </c>
      <c r="E49" s="13" t="s">
        <v>44</v>
      </c>
      <c r="F49" s="14" t="s">
        <v>45</v>
      </c>
      <c r="G49" s="13" t="s">
        <v>46</v>
      </c>
      <c r="H49" s="14" t="s">
        <v>45</v>
      </c>
      <c r="I49" s="14" t="s">
        <v>45</v>
      </c>
      <c r="J49" s="14" t="s">
        <v>45</v>
      </c>
      <c r="K49" s="14" t="s">
        <v>45</v>
      </c>
      <c r="L49" s="61">
        <v>8</v>
      </c>
      <c r="M49" s="45" t="s">
        <v>312</v>
      </c>
      <c r="N49" s="55"/>
      <c r="O49" s="55"/>
      <c r="P49" s="55"/>
    </row>
    <row r="50" spans="1:16">
      <c r="A50" s="116"/>
      <c r="B50" s="11">
        <f t="shared" si="0"/>
        <v>49</v>
      </c>
      <c r="C50" s="11"/>
      <c r="D50" s="45" t="s">
        <v>313</v>
      </c>
      <c r="E50" s="13" t="s">
        <v>44</v>
      </c>
      <c r="F50" s="14" t="s">
        <v>45</v>
      </c>
      <c r="G50" s="13" t="s">
        <v>46</v>
      </c>
      <c r="H50" s="14" t="s">
        <v>45</v>
      </c>
      <c r="I50" s="14" t="s">
        <v>45</v>
      </c>
      <c r="J50" s="14" t="s">
        <v>45</v>
      </c>
      <c r="K50" s="14" t="s">
        <v>45</v>
      </c>
      <c r="L50" s="61">
        <v>8</v>
      </c>
      <c r="M50" s="45" t="s">
        <v>314</v>
      </c>
      <c r="N50" s="55"/>
      <c r="O50" s="55"/>
      <c r="P50" s="55"/>
    </row>
    <row r="51" spans="1:16">
      <c r="A51" s="116"/>
      <c r="B51" s="11">
        <f t="shared" si="0"/>
        <v>50</v>
      </c>
      <c r="C51" s="11"/>
      <c r="D51" s="45" t="s">
        <v>315</v>
      </c>
      <c r="E51" s="13" t="s">
        <v>44</v>
      </c>
      <c r="F51" s="14" t="s">
        <v>45</v>
      </c>
      <c r="G51" s="13" t="s">
        <v>46</v>
      </c>
      <c r="H51" s="14" t="s">
        <v>45</v>
      </c>
      <c r="I51" s="14" t="s">
        <v>45</v>
      </c>
      <c r="J51" s="14" t="s">
        <v>45</v>
      </c>
      <c r="K51" s="14" t="s">
        <v>45</v>
      </c>
      <c r="L51" s="61">
        <v>8</v>
      </c>
      <c r="M51" s="45" t="s">
        <v>316</v>
      </c>
      <c r="N51" s="55"/>
      <c r="O51" s="55"/>
      <c r="P51" s="55"/>
    </row>
    <row r="52" spans="1:16">
      <c r="A52" s="116"/>
      <c r="B52" s="11">
        <f t="shared" si="0"/>
        <v>51</v>
      </c>
      <c r="C52" s="11"/>
      <c r="D52" s="45" t="s">
        <v>317</v>
      </c>
      <c r="E52" s="13" t="s">
        <v>44</v>
      </c>
      <c r="F52" s="14" t="s">
        <v>45</v>
      </c>
      <c r="G52" s="13" t="s">
        <v>46</v>
      </c>
      <c r="H52" s="14" t="s">
        <v>45</v>
      </c>
      <c r="I52" s="14" t="s">
        <v>45</v>
      </c>
      <c r="J52" s="14" t="s">
        <v>45</v>
      </c>
      <c r="K52" s="14" t="s">
        <v>45</v>
      </c>
      <c r="L52" s="61">
        <v>8</v>
      </c>
      <c r="M52" s="45" t="s">
        <v>318</v>
      </c>
      <c r="N52" s="55"/>
      <c r="O52" s="55"/>
      <c r="P52" s="55"/>
    </row>
    <row r="53" spans="1:16">
      <c r="A53" s="116"/>
      <c r="B53" s="11">
        <f t="shared" si="0"/>
        <v>52</v>
      </c>
      <c r="C53" s="11"/>
      <c r="D53" s="45" t="s">
        <v>319</v>
      </c>
      <c r="E53" s="13" t="s">
        <v>111</v>
      </c>
      <c r="F53" s="14" t="s">
        <v>45</v>
      </c>
      <c r="G53" s="13" t="s">
        <v>46</v>
      </c>
      <c r="H53" s="14" t="s">
        <v>45</v>
      </c>
      <c r="I53" s="14" t="s">
        <v>45</v>
      </c>
      <c r="J53" s="14" t="s">
        <v>45</v>
      </c>
      <c r="K53" s="14" t="s">
        <v>45</v>
      </c>
      <c r="L53" s="61">
        <v>8</v>
      </c>
      <c r="M53" s="45" t="s">
        <v>320</v>
      </c>
      <c r="N53" s="55"/>
      <c r="O53" s="55"/>
      <c r="P53" s="55"/>
    </row>
    <row r="54" spans="1:16">
      <c r="A54" s="116"/>
      <c r="B54" s="11">
        <f t="shared" si="0"/>
        <v>53</v>
      </c>
      <c r="C54" s="11"/>
      <c r="D54" s="45" t="s">
        <v>321</v>
      </c>
      <c r="E54" s="13" t="s">
        <v>111</v>
      </c>
      <c r="F54" s="13" t="s">
        <v>45</v>
      </c>
      <c r="G54" s="13" t="s">
        <v>46</v>
      </c>
      <c r="H54" s="13" t="s">
        <v>45</v>
      </c>
      <c r="I54" s="13" t="s">
        <v>45</v>
      </c>
      <c r="J54" s="13" t="s">
        <v>45</v>
      </c>
      <c r="K54" s="13" t="s">
        <v>45</v>
      </c>
      <c r="L54" s="13">
        <v>16</v>
      </c>
      <c r="M54" s="45" t="s">
        <v>322</v>
      </c>
      <c r="N54" s="55"/>
      <c r="O54" s="55"/>
      <c r="P54" s="55"/>
    </row>
    <row r="55" spans="1:16">
      <c r="A55" s="116"/>
      <c r="B55" s="11">
        <f t="shared" si="0"/>
        <v>54</v>
      </c>
      <c r="C55" s="11"/>
      <c r="D55" s="45" t="s">
        <v>323</v>
      </c>
      <c r="E55" s="13" t="s">
        <v>44</v>
      </c>
      <c r="F55" s="14" t="s">
        <v>45</v>
      </c>
      <c r="G55" s="13" t="s">
        <v>46</v>
      </c>
      <c r="H55" s="14" t="s">
        <v>45</v>
      </c>
      <c r="I55" s="14" t="s">
        <v>45</v>
      </c>
      <c r="J55" s="14" t="s">
        <v>45</v>
      </c>
      <c r="K55" s="14" t="s">
        <v>45</v>
      </c>
      <c r="L55" s="61">
        <v>8</v>
      </c>
      <c r="M55" s="45" t="s">
        <v>324</v>
      </c>
      <c r="N55" s="55"/>
      <c r="O55" s="55"/>
      <c r="P55" s="55"/>
    </row>
    <row r="56" spans="1:16">
      <c r="A56" s="116"/>
      <c r="B56" s="11">
        <f>ROW(B54)</f>
        <v>54</v>
      </c>
      <c r="C56" s="11"/>
      <c r="D56" s="45" t="s">
        <v>325</v>
      </c>
      <c r="E56" s="13" t="s">
        <v>111</v>
      </c>
      <c r="F56" s="14" t="s">
        <v>45</v>
      </c>
      <c r="G56" s="13" t="s">
        <v>46</v>
      </c>
      <c r="H56" s="14" t="s">
        <v>45</v>
      </c>
      <c r="I56" s="14" t="s">
        <v>45</v>
      </c>
      <c r="J56" s="14" t="s">
        <v>45</v>
      </c>
      <c r="K56" s="14" t="s">
        <v>45</v>
      </c>
      <c r="L56" s="61">
        <v>8</v>
      </c>
      <c r="M56" s="45" t="s">
        <v>326</v>
      </c>
      <c r="N56" s="55"/>
      <c r="O56" s="55"/>
      <c r="P56" s="55"/>
    </row>
    <row r="57" spans="1:16">
      <c r="A57" s="116"/>
      <c r="B57" s="11">
        <f t="shared" si="0"/>
        <v>56</v>
      </c>
      <c r="C57" s="11"/>
      <c r="D57" s="45" t="s">
        <v>327</v>
      </c>
      <c r="E57" s="13" t="s">
        <v>111</v>
      </c>
      <c r="F57" s="13" t="s">
        <v>45</v>
      </c>
      <c r="G57" s="13" t="s">
        <v>46</v>
      </c>
      <c r="H57" s="13" t="s">
        <v>45</v>
      </c>
      <c r="I57" s="13" t="s">
        <v>45</v>
      </c>
      <c r="J57" s="13" t="s">
        <v>45</v>
      </c>
      <c r="K57" s="13" t="s">
        <v>45</v>
      </c>
      <c r="L57" s="13">
        <v>8</v>
      </c>
      <c r="M57" s="45" t="s">
        <v>328</v>
      </c>
      <c r="N57" s="55"/>
      <c r="O57" s="55"/>
      <c r="P57" s="55"/>
    </row>
    <row r="58" spans="1:16">
      <c r="A58" s="116"/>
      <c r="B58" s="11">
        <f t="shared" si="0"/>
        <v>57</v>
      </c>
      <c r="C58" s="11"/>
      <c r="D58" s="45" t="s">
        <v>329</v>
      </c>
      <c r="E58" s="13" t="s">
        <v>111</v>
      </c>
      <c r="F58" s="13" t="s">
        <v>45</v>
      </c>
      <c r="G58" s="13" t="s">
        <v>46</v>
      </c>
      <c r="H58" s="13" t="s">
        <v>45</v>
      </c>
      <c r="I58" s="13" t="s">
        <v>45</v>
      </c>
      <c r="J58" s="13" t="s">
        <v>45</v>
      </c>
      <c r="K58" s="13" t="s">
        <v>45</v>
      </c>
      <c r="L58" s="13">
        <v>8</v>
      </c>
      <c r="M58" s="45" t="s">
        <v>330</v>
      </c>
      <c r="N58" s="55"/>
      <c r="O58" s="55"/>
      <c r="P58" s="55"/>
    </row>
    <row r="59" spans="1:16">
      <c r="A59" s="116"/>
      <c r="B59" s="11">
        <f t="shared" si="0"/>
        <v>58</v>
      </c>
      <c r="C59" s="11"/>
      <c r="D59" s="45" t="s">
        <v>331</v>
      </c>
      <c r="E59" s="13" t="s">
        <v>111</v>
      </c>
      <c r="F59" s="13" t="s">
        <v>45</v>
      </c>
      <c r="G59" s="13" t="s">
        <v>46</v>
      </c>
      <c r="H59" s="13" t="s">
        <v>45</v>
      </c>
      <c r="I59" s="13" t="s">
        <v>45</v>
      </c>
      <c r="J59" s="13" t="s">
        <v>45</v>
      </c>
      <c r="K59" s="13" t="s">
        <v>45</v>
      </c>
      <c r="L59" s="13">
        <v>8</v>
      </c>
      <c r="M59" s="45" t="s">
        <v>332</v>
      </c>
      <c r="N59" s="55"/>
      <c r="O59" s="55"/>
      <c r="P59" s="55"/>
    </row>
    <row r="60" spans="1:16">
      <c r="A60" s="116"/>
      <c r="B60" s="11">
        <f t="shared" si="0"/>
        <v>59</v>
      </c>
      <c r="C60" s="11"/>
      <c r="D60" s="45" t="s">
        <v>333</v>
      </c>
      <c r="E60" s="13" t="s">
        <v>111</v>
      </c>
      <c r="F60" s="13" t="s">
        <v>45</v>
      </c>
      <c r="G60" s="13" t="s">
        <v>46</v>
      </c>
      <c r="H60" s="13" t="s">
        <v>45</v>
      </c>
      <c r="I60" s="13" t="s">
        <v>45</v>
      </c>
      <c r="J60" s="13" t="s">
        <v>45</v>
      </c>
      <c r="K60" s="13" t="s">
        <v>45</v>
      </c>
      <c r="L60" s="13">
        <v>16</v>
      </c>
      <c r="M60" s="45" t="s">
        <v>334</v>
      </c>
      <c r="N60" s="55"/>
      <c r="O60" s="55"/>
      <c r="P60" s="55"/>
    </row>
    <row r="61" spans="1:16">
      <c r="A61" s="116"/>
      <c r="B61" s="11">
        <f t="shared" si="0"/>
        <v>60</v>
      </c>
      <c r="C61" s="11"/>
      <c r="D61" s="45" t="s">
        <v>335</v>
      </c>
      <c r="E61" s="13" t="s">
        <v>44</v>
      </c>
      <c r="F61" s="13" t="s">
        <v>45</v>
      </c>
      <c r="G61" s="13" t="s">
        <v>46</v>
      </c>
      <c r="H61" s="13" t="s">
        <v>45</v>
      </c>
      <c r="I61" s="13" t="s">
        <v>45</v>
      </c>
      <c r="J61" s="13" t="s">
        <v>45</v>
      </c>
      <c r="K61" s="13" t="s">
        <v>45</v>
      </c>
      <c r="L61" s="13">
        <v>8</v>
      </c>
      <c r="M61" s="45" t="s">
        <v>336</v>
      </c>
      <c r="N61" s="55"/>
      <c r="O61" s="55"/>
      <c r="P61" s="55"/>
    </row>
    <row r="62" spans="1:16">
      <c r="A62" s="116"/>
      <c r="B62" s="11">
        <f t="shared" si="0"/>
        <v>61</v>
      </c>
      <c r="C62" s="11"/>
      <c r="D62" s="45" t="s">
        <v>337</v>
      </c>
      <c r="E62" s="13" t="s">
        <v>44</v>
      </c>
      <c r="F62" s="14" t="s">
        <v>45</v>
      </c>
      <c r="G62" s="13" t="s">
        <v>46</v>
      </c>
      <c r="H62" s="14" t="s">
        <v>45</v>
      </c>
      <c r="I62" s="14" t="s">
        <v>45</v>
      </c>
      <c r="J62" s="14" t="s">
        <v>45</v>
      </c>
      <c r="K62" s="14" t="s">
        <v>45</v>
      </c>
      <c r="L62" s="61">
        <v>8</v>
      </c>
      <c r="M62" s="45" t="s">
        <v>338</v>
      </c>
      <c r="N62" s="55"/>
      <c r="O62" s="55"/>
      <c r="P62" s="55"/>
    </row>
    <row r="63" spans="1:16">
      <c r="A63" s="116"/>
      <c r="B63" s="11">
        <f t="shared" si="0"/>
        <v>62</v>
      </c>
      <c r="C63" s="11"/>
      <c r="D63" s="45" t="s">
        <v>339</v>
      </c>
      <c r="E63" s="13" t="s">
        <v>44</v>
      </c>
      <c r="F63" s="14" t="s">
        <v>45</v>
      </c>
      <c r="G63" s="13" t="s">
        <v>46</v>
      </c>
      <c r="H63" s="14" t="s">
        <v>45</v>
      </c>
      <c r="I63" s="14" t="s">
        <v>45</v>
      </c>
      <c r="J63" s="14" t="s">
        <v>45</v>
      </c>
      <c r="K63" s="14" t="s">
        <v>45</v>
      </c>
      <c r="L63" s="61">
        <v>8</v>
      </c>
      <c r="M63" s="45" t="s">
        <v>340</v>
      </c>
      <c r="N63" s="55"/>
      <c r="O63" s="55"/>
      <c r="P63" s="55"/>
    </row>
    <row r="64" spans="1:16">
      <c r="A64" s="116"/>
      <c r="B64" s="11">
        <f t="shared" si="0"/>
        <v>63</v>
      </c>
      <c r="C64" s="11"/>
      <c r="D64" s="45" t="s">
        <v>341</v>
      </c>
      <c r="E64" s="13" t="s">
        <v>44</v>
      </c>
      <c r="F64" s="13" t="s">
        <v>45</v>
      </c>
      <c r="G64" s="13" t="s">
        <v>46</v>
      </c>
      <c r="H64" s="13" t="s">
        <v>45</v>
      </c>
      <c r="I64" s="13" t="s">
        <v>45</v>
      </c>
      <c r="J64" s="13" t="s">
        <v>45</v>
      </c>
      <c r="K64" s="13" t="s">
        <v>45</v>
      </c>
      <c r="L64" s="13">
        <v>8</v>
      </c>
      <c r="M64" s="45" t="s">
        <v>342</v>
      </c>
      <c r="N64" s="55"/>
      <c r="O64" s="55"/>
      <c r="P64" s="55"/>
    </row>
    <row r="65" spans="1:16">
      <c r="A65" s="116"/>
      <c r="B65" s="11">
        <f t="shared" si="0"/>
        <v>64</v>
      </c>
      <c r="C65" s="11"/>
      <c r="D65" s="45" t="s">
        <v>343</v>
      </c>
      <c r="E65" s="13" t="s">
        <v>44</v>
      </c>
      <c r="F65" s="13" t="s">
        <v>45</v>
      </c>
      <c r="G65" s="13" t="s">
        <v>46</v>
      </c>
      <c r="H65" s="13" t="s">
        <v>45</v>
      </c>
      <c r="I65" s="13" t="s">
        <v>45</v>
      </c>
      <c r="J65" s="13" t="s">
        <v>45</v>
      </c>
      <c r="K65" s="13" t="s">
        <v>45</v>
      </c>
      <c r="L65" s="13">
        <v>8</v>
      </c>
      <c r="M65" s="45" t="s">
        <v>344</v>
      </c>
      <c r="N65" s="55"/>
      <c r="O65" s="55"/>
      <c r="P65" s="55"/>
    </row>
    <row r="66" spans="1:16" ht="13.5" customHeight="1">
      <c r="A66" s="117" t="s">
        <v>345</v>
      </c>
      <c r="B66" s="6">
        <f t="shared" si="0"/>
        <v>65</v>
      </c>
      <c r="C66" s="15"/>
      <c r="D66" s="15" t="s">
        <v>346</v>
      </c>
      <c r="E66" s="25" t="s">
        <v>44</v>
      </c>
      <c r="F66" s="8" t="s">
        <v>45</v>
      </c>
      <c r="G66" s="25" t="s">
        <v>46</v>
      </c>
      <c r="H66" s="8" t="s">
        <v>45</v>
      </c>
      <c r="I66" s="8" t="s">
        <v>45</v>
      </c>
      <c r="J66" s="8" t="s">
        <v>45</v>
      </c>
      <c r="K66" s="8" t="s">
        <v>45</v>
      </c>
      <c r="L66" s="8">
        <v>16</v>
      </c>
      <c r="M66" s="15" t="s">
        <v>347</v>
      </c>
      <c r="N66" s="18"/>
      <c r="O66" s="18"/>
      <c r="P66" s="55"/>
    </row>
    <row r="67" spans="1:16">
      <c r="A67" s="118"/>
      <c r="B67" s="6">
        <f t="shared" si="0"/>
        <v>66</v>
      </c>
      <c r="C67" s="15"/>
      <c r="D67" s="15" t="s">
        <v>48</v>
      </c>
      <c r="E67" s="25" t="s">
        <v>44</v>
      </c>
      <c r="F67" s="8" t="s">
        <v>45</v>
      </c>
      <c r="G67" s="25" t="s">
        <v>46</v>
      </c>
      <c r="H67" s="8" t="s">
        <v>45</v>
      </c>
      <c r="I67" s="8" t="s">
        <v>45</v>
      </c>
      <c r="J67" s="8" t="s">
        <v>45</v>
      </c>
      <c r="K67" s="8" t="s">
        <v>45</v>
      </c>
      <c r="L67" s="8">
        <v>16</v>
      </c>
      <c r="M67" s="15" t="s">
        <v>348</v>
      </c>
      <c r="N67" s="18"/>
      <c r="O67" s="18"/>
      <c r="P67" s="55"/>
    </row>
    <row r="68" spans="1:16">
      <c r="A68" s="118"/>
      <c r="B68" s="6">
        <f t="shared" ref="B68:B82" si="1">ROW(B67)</f>
        <v>67</v>
      </c>
      <c r="C68" s="6"/>
      <c r="D68" s="15" t="s">
        <v>349</v>
      </c>
      <c r="E68" s="25" t="s">
        <v>44</v>
      </c>
      <c r="F68" s="8" t="s">
        <v>45</v>
      </c>
      <c r="G68" s="25" t="s">
        <v>46</v>
      </c>
      <c r="H68" s="8" t="s">
        <v>45</v>
      </c>
      <c r="I68" s="8" t="s">
        <v>45</v>
      </c>
      <c r="J68" s="8" t="s">
        <v>45</v>
      </c>
      <c r="K68" s="8" t="s">
        <v>45</v>
      </c>
      <c r="L68" s="25">
        <v>8</v>
      </c>
      <c r="M68" s="15" t="s">
        <v>350</v>
      </c>
      <c r="N68" s="18"/>
      <c r="O68" s="18" t="s">
        <v>174</v>
      </c>
      <c r="P68" s="55"/>
    </row>
    <row r="69" spans="1:16">
      <c r="A69" s="118"/>
      <c r="B69" s="6">
        <f t="shared" si="1"/>
        <v>68</v>
      </c>
      <c r="C69" s="6"/>
      <c r="D69" s="15" t="s">
        <v>351</v>
      </c>
      <c r="E69" s="25" t="s">
        <v>44</v>
      </c>
      <c r="F69" s="8" t="s">
        <v>45</v>
      </c>
      <c r="G69" s="25" t="s">
        <v>46</v>
      </c>
      <c r="H69" s="8" t="s">
        <v>45</v>
      </c>
      <c r="I69" s="8" t="s">
        <v>45</v>
      </c>
      <c r="J69" s="8" t="s">
        <v>45</v>
      </c>
      <c r="K69" s="8" t="s">
        <v>45</v>
      </c>
      <c r="L69" s="25">
        <v>8</v>
      </c>
      <c r="M69" s="15" t="s">
        <v>352</v>
      </c>
      <c r="N69" s="18"/>
      <c r="O69" s="18" t="s">
        <v>174</v>
      </c>
      <c r="P69" s="55"/>
    </row>
    <row r="70" spans="1:16" ht="36">
      <c r="A70" s="118"/>
      <c r="B70" s="6">
        <f t="shared" si="1"/>
        <v>69</v>
      </c>
      <c r="C70" s="6"/>
      <c r="D70" s="15" t="s">
        <v>353</v>
      </c>
      <c r="E70" s="25" t="s">
        <v>44</v>
      </c>
      <c r="F70" s="8" t="s">
        <v>45</v>
      </c>
      <c r="G70" s="25" t="s">
        <v>46</v>
      </c>
      <c r="H70" s="8" t="s">
        <v>45</v>
      </c>
      <c r="I70" s="8" t="s">
        <v>45</v>
      </c>
      <c r="J70" s="8" t="s">
        <v>45</v>
      </c>
      <c r="K70" s="8" t="s">
        <v>45</v>
      </c>
      <c r="L70" s="25">
        <v>2</v>
      </c>
      <c r="M70" s="15" t="s">
        <v>354</v>
      </c>
      <c r="N70" s="18"/>
      <c r="O70" s="18" t="s">
        <v>355</v>
      </c>
      <c r="P70" s="55"/>
    </row>
    <row r="71" spans="1:16" ht="84">
      <c r="A71" s="118"/>
      <c r="B71" s="6">
        <f t="shared" si="1"/>
        <v>70</v>
      </c>
      <c r="C71" s="6"/>
      <c r="D71" s="15" t="s">
        <v>356</v>
      </c>
      <c r="E71" s="25" t="s">
        <v>44</v>
      </c>
      <c r="F71" s="8" t="s">
        <v>45</v>
      </c>
      <c r="G71" s="25" t="s">
        <v>46</v>
      </c>
      <c r="H71" s="8" t="s">
        <v>45</v>
      </c>
      <c r="I71" s="8" t="s">
        <v>45</v>
      </c>
      <c r="J71" s="8" t="s">
        <v>45</v>
      </c>
      <c r="K71" s="8" t="s">
        <v>45</v>
      </c>
      <c r="L71" s="25">
        <v>6</v>
      </c>
      <c r="M71" s="15" t="s">
        <v>357</v>
      </c>
      <c r="N71" s="18"/>
      <c r="O71" s="18" t="s">
        <v>355</v>
      </c>
      <c r="P71" s="55"/>
    </row>
    <row r="72" spans="1:16">
      <c r="A72" s="118"/>
      <c r="B72" s="6">
        <f t="shared" si="1"/>
        <v>71</v>
      </c>
      <c r="C72" s="6"/>
      <c r="D72" s="64" t="s">
        <v>358</v>
      </c>
      <c r="E72" s="25" t="s">
        <v>44</v>
      </c>
      <c r="F72" s="8" t="s">
        <v>45</v>
      </c>
      <c r="G72" s="65" t="s">
        <v>46</v>
      </c>
      <c r="H72" s="8" t="s">
        <v>45</v>
      </c>
      <c r="I72" s="8" t="s">
        <v>45</v>
      </c>
      <c r="J72" s="8" t="s">
        <v>45</v>
      </c>
      <c r="K72" s="8" t="s">
        <v>45</v>
      </c>
      <c r="L72" s="65">
        <v>8</v>
      </c>
      <c r="M72" s="66" t="s">
        <v>359</v>
      </c>
      <c r="N72" s="18"/>
      <c r="O72" s="18" t="s">
        <v>355</v>
      </c>
      <c r="P72" s="55"/>
    </row>
    <row r="73" spans="1:16">
      <c r="A73" s="118"/>
      <c r="B73" s="6">
        <f t="shared" si="1"/>
        <v>72</v>
      </c>
      <c r="C73" s="6"/>
      <c r="D73" s="15" t="s">
        <v>360</v>
      </c>
      <c r="E73" s="25" t="s">
        <v>44</v>
      </c>
      <c r="F73" s="8" t="s">
        <v>45</v>
      </c>
      <c r="G73" s="65" t="s">
        <v>46</v>
      </c>
      <c r="H73" s="8" t="s">
        <v>45</v>
      </c>
      <c r="I73" s="8" t="s">
        <v>45</v>
      </c>
      <c r="J73" s="8" t="s">
        <v>45</v>
      </c>
      <c r="K73" s="8" t="s">
        <v>45</v>
      </c>
      <c r="L73" s="65">
        <v>4</v>
      </c>
      <c r="M73" s="66" t="s">
        <v>361</v>
      </c>
      <c r="N73" s="18"/>
      <c r="O73" s="18" t="s">
        <v>355</v>
      </c>
      <c r="P73" s="55"/>
    </row>
    <row r="74" spans="1:16">
      <c r="A74" s="118"/>
      <c r="B74" s="6">
        <f t="shared" si="1"/>
        <v>73</v>
      </c>
      <c r="C74" s="6"/>
      <c r="D74" s="15" t="s">
        <v>362</v>
      </c>
      <c r="E74" s="25" t="s">
        <v>44</v>
      </c>
      <c r="F74" s="8" t="s">
        <v>45</v>
      </c>
      <c r="G74" s="65" t="s">
        <v>46</v>
      </c>
      <c r="H74" s="8" t="s">
        <v>45</v>
      </c>
      <c r="I74" s="8" t="s">
        <v>45</v>
      </c>
      <c r="J74" s="8" t="s">
        <v>45</v>
      </c>
      <c r="K74" s="8" t="s">
        <v>45</v>
      </c>
      <c r="L74" s="65">
        <v>4</v>
      </c>
      <c r="M74" s="66" t="s">
        <v>363</v>
      </c>
      <c r="N74" s="18"/>
      <c r="O74" s="18" t="s">
        <v>355</v>
      </c>
      <c r="P74" s="55"/>
    </row>
    <row r="75" spans="1:16">
      <c r="A75" s="118"/>
      <c r="B75" s="6">
        <f t="shared" si="1"/>
        <v>74</v>
      </c>
      <c r="C75" s="6"/>
      <c r="D75" s="15" t="s">
        <v>364</v>
      </c>
      <c r="E75" s="25" t="s">
        <v>44</v>
      </c>
      <c r="F75" s="8" t="s">
        <v>45</v>
      </c>
      <c r="G75" s="65" t="s">
        <v>46</v>
      </c>
      <c r="H75" s="8" t="s">
        <v>45</v>
      </c>
      <c r="I75" s="8" t="s">
        <v>45</v>
      </c>
      <c r="J75" s="8" t="s">
        <v>45</v>
      </c>
      <c r="K75" s="8" t="s">
        <v>45</v>
      </c>
      <c r="L75" s="65">
        <v>4</v>
      </c>
      <c r="M75" s="66" t="s">
        <v>365</v>
      </c>
      <c r="N75" s="18"/>
      <c r="O75" s="18" t="s">
        <v>355</v>
      </c>
      <c r="P75" s="55"/>
    </row>
    <row r="76" spans="1:16">
      <c r="A76" s="118"/>
      <c r="B76" s="6">
        <f t="shared" si="1"/>
        <v>75</v>
      </c>
      <c r="C76" s="6"/>
      <c r="D76" s="15" t="s">
        <v>366</v>
      </c>
      <c r="E76" s="25" t="s">
        <v>44</v>
      </c>
      <c r="F76" s="8" t="s">
        <v>45</v>
      </c>
      <c r="G76" s="65" t="s">
        <v>46</v>
      </c>
      <c r="H76" s="8" t="s">
        <v>45</v>
      </c>
      <c r="I76" s="8" t="s">
        <v>45</v>
      </c>
      <c r="J76" s="8" t="s">
        <v>45</v>
      </c>
      <c r="K76" s="8" t="s">
        <v>45</v>
      </c>
      <c r="L76" s="65">
        <v>4</v>
      </c>
      <c r="M76" s="66" t="s">
        <v>367</v>
      </c>
      <c r="N76" s="18"/>
      <c r="O76" s="18" t="s">
        <v>355</v>
      </c>
      <c r="P76" s="55"/>
    </row>
    <row r="77" spans="1:16">
      <c r="A77" s="118"/>
      <c r="B77" s="6">
        <f t="shared" si="1"/>
        <v>76</v>
      </c>
      <c r="C77" s="6"/>
      <c r="D77" s="15" t="s">
        <v>368</v>
      </c>
      <c r="E77" s="25" t="s">
        <v>44</v>
      </c>
      <c r="F77" s="8" t="s">
        <v>45</v>
      </c>
      <c r="G77" s="65" t="s">
        <v>46</v>
      </c>
      <c r="H77" s="8" t="s">
        <v>45</v>
      </c>
      <c r="I77" s="8" t="s">
        <v>45</v>
      </c>
      <c r="J77" s="8" t="s">
        <v>45</v>
      </c>
      <c r="K77" s="8" t="s">
        <v>45</v>
      </c>
      <c r="L77" s="65">
        <v>4</v>
      </c>
      <c r="M77" s="66" t="s">
        <v>369</v>
      </c>
      <c r="N77" s="18"/>
      <c r="O77" s="18" t="s">
        <v>355</v>
      </c>
      <c r="P77" s="55"/>
    </row>
    <row r="78" spans="1:16">
      <c r="A78" s="118"/>
      <c r="B78" s="6">
        <f t="shared" si="1"/>
        <v>77</v>
      </c>
      <c r="C78" s="6"/>
      <c r="D78" s="15" t="s">
        <v>370</v>
      </c>
      <c r="E78" s="25" t="s">
        <v>44</v>
      </c>
      <c r="F78" s="8" t="s">
        <v>45</v>
      </c>
      <c r="G78" s="65" t="s">
        <v>46</v>
      </c>
      <c r="H78" s="8" t="s">
        <v>45</v>
      </c>
      <c r="I78" s="8" t="s">
        <v>45</v>
      </c>
      <c r="J78" s="8" t="s">
        <v>45</v>
      </c>
      <c r="K78" s="8" t="s">
        <v>45</v>
      </c>
      <c r="L78" s="65">
        <v>4</v>
      </c>
      <c r="M78" s="66" t="s">
        <v>371</v>
      </c>
      <c r="N78" s="18"/>
      <c r="O78" s="18" t="s">
        <v>355</v>
      </c>
      <c r="P78" s="55"/>
    </row>
    <row r="79" spans="1:16">
      <c r="A79" s="118"/>
      <c r="B79" s="6">
        <f t="shared" si="1"/>
        <v>78</v>
      </c>
      <c r="C79" s="6"/>
      <c r="D79" s="15" t="s">
        <v>372</v>
      </c>
      <c r="E79" s="25" t="s">
        <v>44</v>
      </c>
      <c r="F79" s="8" t="s">
        <v>45</v>
      </c>
      <c r="G79" s="65" t="s">
        <v>46</v>
      </c>
      <c r="H79" s="8" t="s">
        <v>45</v>
      </c>
      <c r="I79" s="8" t="s">
        <v>45</v>
      </c>
      <c r="J79" s="8" t="s">
        <v>45</v>
      </c>
      <c r="K79" s="8" t="s">
        <v>45</v>
      </c>
      <c r="L79" s="65">
        <v>4</v>
      </c>
      <c r="M79" s="66" t="s">
        <v>373</v>
      </c>
      <c r="N79" s="18"/>
      <c r="O79" s="18" t="s">
        <v>355</v>
      </c>
      <c r="P79" s="55"/>
    </row>
    <row r="80" spans="1:16">
      <c r="A80" s="118"/>
      <c r="B80" s="6">
        <f t="shared" si="1"/>
        <v>79</v>
      </c>
      <c r="C80" s="6"/>
      <c r="D80" s="15" t="s">
        <v>374</v>
      </c>
      <c r="E80" s="25" t="s">
        <v>44</v>
      </c>
      <c r="F80" s="8" t="s">
        <v>45</v>
      </c>
      <c r="G80" s="65" t="s">
        <v>46</v>
      </c>
      <c r="H80" s="8" t="s">
        <v>45</v>
      </c>
      <c r="I80" s="8" t="s">
        <v>45</v>
      </c>
      <c r="J80" s="8" t="s">
        <v>45</v>
      </c>
      <c r="K80" s="8" t="s">
        <v>45</v>
      </c>
      <c r="L80" s="65">
        <v>4</v>
      </c>
      <c r="M80" s="66" t="s">
        <v>375</v>
      </c>
      <c r="N80" s="18"/>
      <c r="O80" s="18" t="s">
        <v>355</v>
      </c>
      <c r="P80" s="55"/>
    </row>
    <row r="81" spans="1:16" ht="27">
      <c r="A81" s="118"/>
      <c r="B81" s="6">
        <f t="shared" si="1"/>
        <v>80</v>
      </c>
      <c r="C81" s="6"/>
      <c r="D81" s="15" t="s">
        <v>376</v>
      </c>
      <c r="E81" s="25" t="s">
        <v>44</v>
      </c>
      <c r="F81" s="8" t="s">
        <v>45</v>
      </c>
      <c r="G81" s="65" t="s">
        <v>46</v>
      </c>
      <c r="H81" s="8" t="s">
        <v>45</v>
      </c>
      <c r="I81" s="8" t="s">
        <v>45</v>
      </c>
      <c r="J81" s="8" t="s">
        <v>45</v>
      </c>
      <c r="K81" s="8" t="s">
        <v>45</v>
      </c>
      <c r="L81" s="65">
        <v>8</v>
      </c>
      <c r="M81" s="66" t="s">
        <v>377</v>
      </c>
      <c r="N81" s="18"/>
      <c r="O81" s="18" t="s">
        <v>355</v>
      </c>
      <c r="P81" s="55"/>
    </row>
    <row r="82" spans="1:16" ht="27">
      <c r="A82" s="118"/>
      <c r="B82" s="6">
        <f t="shared" si="1"/>
        <v>81</v>
      </c>
      <c r="C82" s="6"/>
      <c r="D82" s="15" t="s">
        <v>378</v>
      </c>
      <c r="E82" s="25" t="s">
        <v>44</v>
      </c>
      <c r="F82" s="8" t="s">
        <v>45</v>
      </c>
      <c r="G82" s="65" t="s">
        <v>46</v>
      </c>
      <c r="H82" s="8" t="s">
        <v>45</v>
      </c>
      <c r="I82" s="8" t="s">
        <v>45</v>
      </c>
      <c r="J82" s="8" t="s">
        <v>45</v>
      </c>
      <c r="K82" s="8" t="s">
        <v>45</v>
      </c>
      <c r="L82" s="65">
        <v>8</v>
      </c>
      <c r="M82" s="66" t="s">
        <v>379</v>
      </c>
      <c r="N82" s="18"/>
      <c r="O82" s="18" t="s">
        <v>355</v>
      </c>
      <c r="P82" s="55"/>
    </row>
    <row r="83" spans="1:16">
      <c r="A83" s="118"/>
      <c r="B83" s="6">
        <f t="shared" ref="B83:B89" si="2">ROW(B82)</f>
        <v>82</v>
      </c>
      <c r="C83" s="6"/>
      <c r="D83" s="15" t="s">
        <v>380</v>
      </c>
      <c r="E83" s="25" t="s">
        <v>44</v>
      </c>
      <c r="F83" s="8" t="s">
        <v>45</v>
      </c>
      <c r="G83" s="65" t="s">
        <v>46</v>
      </c>
      <c r="H83" s="8" t="s">
        <v>45</v>
      </c>
      <c r="I83" s="8" t="s">
        <v>45</v>
      </c>
      <c r="J83" s="8" t="s">
        <v>45</v>
      </c>
      <c r="K83" s="8" t="s">
        <v>45</v>
      </c>
      <c r="L83" s="65">
        <v>8</v>
      </c>
      <c r="M83" s="67" t="s">
        <v>381</v>
      </c>
      <c r="N83" s="18"/>
      <c r="O83" s="18" t="s">
        <v>183</v>
      </c>
      <c r="P83" s="55"/>
    </row>
    <row r="84" spans="1:16">
      <c r="A84" s="118"/>
      <c r="B84" s="6">
        <f t="shared" si="2"/>
        <v>83</v>
      </c>
      <c r="C84" s="6"/>
      <c r="D84" s="15" t="s">
        <v>382</v>
      </c>
      <c r="E84" s="25" t="s">
        <v>44</v>
      </c>
      <c r="F84" s="15" t="s">
        <v>45</v>
      </c>
      <c r="G84" s="8" t="s">
        <v>46</v>
      </c>
      <c r="H84" s="25" t="s">
        <v>45</v>
      </c>
      <c r="I84" s="25" t="s">
        <v>45</v>
      </c>
      <c r="J84" s="25">
        <v>0</v>
      </c>
      <c r="K84" s="25" t="s">
        <v>45</v>
      </c>
      <c r="L84" s="25">
        <v>8</v>
      </c>
      <c r="M84" s="23" t="s">
        <v>383</v>
      </c>
      <c r="N84" s="18"/>
      <c r="O84" s="18" t="s">
        <v>384</v>
      </c>
      <c r="P84" s="55"/>
    </row>
    <row r="85" spans="1:16">
      <c r="A85" s="118"/>
      <c r="B85" s="6">
        <f t="shared" si="2"/>
        <v>84</v>
      </c>
      <c r="C85" s="6"/>
      <c r="D85" s="15" t="s">
        <v>385</v>
      </c>
      <c r="E85" s="25" t="s">
        <v>44</v>
      </c>
      <c r="F85" s="8" t="s">
        <v>45</v>
      </c>
      <c r="G85" s="8" t="s">
        <v>46</v>
      </c>
      <c r="H85" s="8" t="s">
        <v>45</v>
      </c>
      <c r="I85" s="8" t="s">
        <v>45</v>
      </c>
      <c r="J85" s="8" t="s">
        <v>45</v>
      </c>
      <c r="K85" s="8" t="s">
        <v>45</v>
      </c>
      <c r="L85" s="8">
        <v>32</v>
      </c>
      <c r="M85" s="15" t="s">
        <v>386</v>
      </c>
      <c r="N85" s="18"/>
      <c r="O85" s="18" t="s">
        <v>387</v>
      </c>
      <c r="P85" s="55"/>
    </row>
    <row r="86" spans="1:16">
      <c r="A86" s="118"/>
      <c r="B86" s="6">
        <f t="shared" si="2"/>
        <v>85</v>
      </c>
      <c r="C86" s="6"/>
      <c r="D86" s="15" t="s">
        <v>388</v>
      </c>
      <c r="E86" s="25" t="s">
        <v>44</v>
      </c>
      <c r="F86" s="8" t="s">
        <v>45</v>
      </c>
      <c r="G86" s="8" t="s">
        <v>46</v>
      </c>
      <c r="H86" s="8" t="s">
        <v>45</v>
      </c>
      <c r="I86" s="8" t="s">
        <v>45</v>
      </c>
      <c r="J86" s="8" t="s">
        <v>45</v>
      </c>
      <c r="K86" s="8" t="s">
        <v>45</v>
      </c>
      <c r="L86" s="8">
        <v>32</v>
      </c>
      <c r="M86" s="15" t="s">
        <v>389</v>
      </c>
      <c r="N86" s="18"/>
      <c r="O86" s="18" t="s">
        <v>387</v>
      </c>
      <c r="P86" s="55"/>
    </row>
    <row r="87" spans="1:16">
      <c r="A87" s="118"/>
      <c r="B87" s="6">
        <f t="shared" si="2"/>
        <v>86</v>
      </c>
      <c r="C87" s="6"/>
      <c r="D87" s="15" t="s">
        <v>390</v>
      </c>
      <c r="E87" s="25" t="s">
        <v>44</v>
      </c>
      <c r="F87" s="8" t="s">
        <v>45</v>
      </c>
      <c r="G87" s="8" t="s">
        <v>46</v>
      </c>
      <c r="H87" s="8" t="s">
        <v>45</v>
      </c>
      <c r="I87" s="8" t="s">
        <v>45</v>
      </c>
      <c r="J87" s="8" t="s">
        <v>45</v>
      </c>
      <c r="K87" s="8" t="s">
        <v>45</v>
      </c>
      <c r="L87" s="8">
        <v>32</v>
      </c>
      <c r="M87" s="15" t="s">
        <v>391</v>
      </c>
      <c r="N87" s="18"/>
      <c r="O87" s="18" t="s">
        <v>387</v>
      </c>
      <c r="P87" s="55"/>
    </row>
    <row r="88" spans="1:16">
      <c r="A88" s="118"/>
      <c r="B88" s="6">
        <f t="shared" si="2"/>
        <v>87</v>
      </c>
      <c r="C88" s="6"/>
      <c r="D88" s="15" t="s">
        <v>392</v>
      </c>
      <c r="E88" s="25" t="s">
        <v>44</v>
      </c>
      <c r="F88" s="8" t="s">
        <v>45</v>
      </c>
      <c r="G88" s="8" t="s">
        <v>46</v>
      </c>
      <c r="H88" s="8" t="s">
        <v>45</v>
      </c>
      <c r="I88" s="8" t="s">
        <v>45</v>
      </c>
      <c r="J88" s="8" t="s">
        <v>45</v>
      </c>
      <c r="K88" s="8" t="s">
        <v>45</v>
      </c>
      <c r="L88" s="8">
        <v>16</v>
      </c>
      <c r="M88" s="15" t="s">
        <v>393</v>
      </c>
      <c r="N88" s="18"/>
      <c r="O88" s="18" t="s">
        <v>394</v>
      </c>
      <c r="P88" s="55"/>
    </row>
    <row r="89" spans="1:16">
      <c r="A89" s="118"/>
      <c r="B89" s="6">
        <f t="shared" si="2"/>
        <v>88</v>
      </c>
      <c r="C89" s="6"/>
      <c r="D89" s="15" t="s">
        <v>395</v>
      </c>
      <c r="E89" s="25" t="s">
        <v>44</v>
      </c>
      <c r="F89" s="8" t="s">
        <v>45</v>
      </c>
      <c r="G89" s="8" t="s">
        <v>46</v>
      </c>
      <c r="H89" s="8" t="s">
        <v>45</v>
      </c>
      <c r="I89" s="8" t="s">
        <v>45</v>
      </c>
      <c r="J89" s="8" t="s">
        <v>45</v>
      </c>
      <c r="K89" s="8" t="s">
        <v>45</v>
      </c>
      <c r="L89" s="8">
        <v>16</v>
      </c>
      <c r="M89" s="15" t="s">
        <v>396</v>
      </c>
      <c r="N89" s="18"/>
      <c r="O89" s="18" t="s">
        <v>394</v>
      </c>
      <c r="P89" s="55"/>
    </row>
    <row r="90" spans="1:16">
      <c r="A90" s="113" t="s">
        <v>186</v>
      </c>
      <c r="B90" s="39">
        <v>102</v>
      </c>
      <c r="C90" s="39"/>
      <c r="D90" s="39" t="s">
        <v>187</v>
      </c>
      <c r="E90" s="42" t="s">
        <v>44</v>
      </c>
      <c r="F90" s="42" t="s">
        <v>45</v>
      </c>
      <c r="G90" s="42" t="s">
        <v>46</v>
      </c>
      <c r="H90" s="42" t="s">
        <v>45</v>
      </c>
      <c r="I90" s="42" t="s">
        <v>45</v>
      </c>
      <c r="J90" s="42" t="s">
        <v>45</v>
      </c>
      <c r="K90" s="42" t="s">
        <v>45</v>
      </c>
      <c r="L90" s="42">
        <v>264</v>
      </c>
      <c r="M90" s="39" t="s">
        <v>187</v>
      </c>
    </row>
    <row r="91" spans="1:16">
      <c r="A91" s="113"/>
      <c r="B91" s="39">
        <v>103</v>
      </c>
      <c r="C91" s="39"/>
      <c r="D91" s="39" t="s">
        <v>232</v>
      </c>
      <c r="E91" s="42" t="s">
        <v>44</v>
      </c>
      <c r="F91" s="42" t="s">
        <v>45</v>
      </c>
      <c r="G91" s="42" t="s">
        <v>46</v>
      </c>
      <c r="H91" s="42" t="s">
        <v>45</v>
      </c>
      <c r="I91" s="42" t="s">
        <v>45</v>
      </c>
      <c r="J91" s="42" t="s">
        <v>45</v>
      </c>
      <c r="K91" s="42" t="s">
        <v>45</v>
      </c>
      <c r="L91" s="42">
        <v>8</v>
      </c>
      <c r="M91" s="39" t="s">
        <v>232</v>
      </c>
    </row>
    <row r="105" spans="11:12">
      <c r="K105" t="s">
        <v>233</v>
      </c>
      <c r="L105">
        <f>SUM(L2:L104)</f>
        <v>1184</v>
      </c>
    </row>
  </sheetData>
  <mergeCells count="5">
    <mergeCell ref="A2:A7"/>
    <mergeCell ref="A10:A20"/>
    <mergeCell ref="A36:A65"/>
    <mergeCell ref="A66:A89"/>
    <mergeCell ref="A90:A91"/>
  </mergeCells>
  <phoneticPr fontId="19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8"/>
  <sheetViews>
    <sheetView tabSelected="1" topLeftCell="A2" workbookViewId="0">
      <selection activeCell="M13" sqref="M13"/>
    </sheetView>
  </sheetViews>
  <sheetFormatPr defaultColWidth="9" defaultRowHeight="13.5"/>
  <cols>
    <col min="4" max="4" width="30.375" customWidth="1"/>
    <col min="5" max="5" width="22.625" style="1" customWidth="1"/>
    <col min="7" max="7" width="9" style="1"/>
    <col min="12" max="12" width="9" style="1"/>
    <col min="13" max="13" width="57.625" customWidth="1"/>
    <col min="14" max="14" width="10.375" customWidth="1"/>
    <col min="15" max="15" width="33.875" customWidth="1"/>
  </cols>
  <sheetData>
    <row r="1" spans="1:18" ht="24">
      <c r="A1" s="3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5" t="s">
        <v>32</v>
      </c>
      <c r="I1" s="5" t="s">
        <v>33</v>
      </c>
      <c r="J1" s="5" t="s">
        <v>34</v>
      </c>
      <c r="K1" s="4" t="s">
        <v>35</v>
      </c>
      <c r="L1" s="4" t="s">
        <v>36</v>
      </c>
      <c r="M1" s="4" t="s">
        <v>37</v>
      </c>
      <c r="N1" s="16" t="s">
        <v>38</v>
      </c>
      <c r="O1" s="4" t="s">
        <v>39</v>
      </c>
      <c r="P1" s="4" t="s">
        <v>40</v>
      </c>
      <c r="Q1" s="62" t="s">
        <v>41</v>
      </c>
      <c r="R1">
        <f>SUM(L2:L180)</f>
        <v>2368</v>
      </c>
    </row>
    <row r="2" spans="1:18" ht="14.25">
      <c r="A2" s="101" t="s">
        <v>42</v>
      </c>
      <c r="B2" s="11">
        <f>ROW(B1)</f>
        <v>1</v>
      </c>
      <c r="C2" s="11"/>
      <c r="D2" s="43" t="s">
        <v>234</v>
      </c>
      <c r="E2" s="13" t="s">
        <v>44</v>
      </c>
      <c r="F2" s="14" t="s">
        <v>45</v>
      </c>
      <c r="G2" s="13" t="s">
        <v>46</v>
      </c>
      <c r="H2" s="14" t="s">
        <v>45</v>
      </c>
      <c r="I2" s="14" t="s">
        <v>45</v>
      </c>
      <c r="J2" s="14" t="s">
        <v>45</v>
      </c>
      <c r="K2" s="14" t="s">
        <v>45</v>
      </c>
      <c r="L2" s="21">
        <v>16</v>
      </c>
      <c r="M2" s="45" t="s">
        <v>235</v>
      </c>
      <c r="N2" s="54"/>
      <c r="O2" s="54"/>
      <c r="P2" s="55"/>
    </row>
    <row r="3" spans="1:18">
      <c r="A3" s="102"/>
      <c r="B3" s="11">
        <f t="shared" ref="B3:B68" si="0">ROW(B2)</f>
        <v>2</v>
      </c>
      <c r="C3" s="11"/>
      <c r="D3" s="45" t="s">
        <v>48</v>
      </c>
      <c r="E3" s="13" t="s">
        <v>44</v>
      </c>
      <c r="F3" s="14" t="s">
        <v>45</v>
      </c>
      <c r="G3" s="13" t="s">
        <v>46</v>
      </c>
      <c r="H3" s="14" t="s">
        <v>45</v>
      </c>
      <c r="I3" s="14" t="s">
        <v>45</v>
      </c>
      <c r="J3" s="14" t="s">
        <v>45</v>
      </c>
      <c r="K3" s="14" t="s">
        <v>45</v>
      </c>
      <c r="L3" s="21">
        <v>16</v>
      </c>
      <c r="M3" s="45" t="s">
        <v>236</v>
      </c>
      <c r="N3" s="54"/>
      <c r="O3" s="54"/>
      <c r="P3" s="55"/>
    </row>
    <row r="4" spans="1:18">
      <c r="A4" s="102"/>
      <c r="B4" s="11">
        <f t="shared" si="0"/>
        <v>3</v>
      </c>
      <c r="C4" s="11"/>
      <c r="D4" s="45" t="s">
        <v>50</v>
      </c>
      <c r="E4" s="13" t="s">
        <v>44</v>
      </c>
      <c r="F4" s="14" t="s">
        <v>45</v>
      </c>
      <c r="G4" s="13" t="s">
        <v>46</v>
      </c>
      <c r="H4" s="14" t="s">
        <v>45</v>
      </c>
      <c r="I4" s="14" t="s">
        <v>45</v>
      </c>
      <c r="J4" s="14" t="s">
        <v>45</v>
      </c>
      <c r="K4" s="14" t="s">
        <v>45</v>
      </c>
      <c r="L4" s="21">
        <v>8</v>
      </c>
      <c r="M4" s="45"/>
      <c r="N4" s="54"/>
      <c r="O4" s="54"/>
      <c r="P4" s="55"/>
    </row>
    <row r="5" spans="1:18">
      <c r="A5" s="102"/>
      <c r="B5" s="11">
        <f t="shared" si="0"/>
        <v>4</v>
      </c>
      <c r="C5" s="11"/>
      <c r="D5" s="45" t="s">
        <v>51</v>
      </c>
      <c r="E5" s="13" t="s">
        <v>44</v>
      </c>
      <c r="F5" s="14" t="s">
        <v>45</v>
      </c>
      <c r="G5" s="13" t="s">
        <v>46</v>
      </c>
      <c r="H5" s="14" t="s">
        <v>45</v>
      </c>
      <c r="I5" s="14" t="s">
        <v>45</v>
      </c>
      <c r="J5" s="14" t="s">
        <v>45</v>
      </c>
      <c r="K5" s="14" t="s">
        <v>45</v>
      </c>
      <c r="L5" s="21">
        <v>8</v>
      </c>
      <c r="M5" s="45" t="s">
        <v>52</v>
      </c>
      <c r="N5" s="54" t="s">
        <v>53</v>
      </c>
      <c r="O5" s="54"/>
      <c r="P5" s="55"/>
    </row>
    <row r="6" spans="1:18" ht="132">
      <c r="A6" s="102"/>
      <c r="B6" s="11">
        <f t="shared" si="0"/>
        <v>5</v>
      </c>
      <c r="C6" s="11"/>
      <c r="D6" s="45" t="s">
        <v>54</v>
      </c>
      <c r="E6" s="13" t="s">
        <v>44</v>
      </c>
      <c r="F6" s="14" t="s">
        <v>45</v>
      </c>
      <c r="G6" s="13" t="s">
        <v>46</v>
      </c>
      <c r="H6" s="14" t="s">
        <v>45</v>
      </c>
      <c r="I6" s="14" t="s">
        <v>45</v>
      </c>
      <c r="J6" s="14" t="s">
        <v>45</v>
      </c>
      <c r="K6" s="14" t="s">
        <v>45</v>
      </c>
      <c r="L6" s="21">
        <v>8</v>
      </c>
      <c r="M6" s="45" t="s">
        <v>237</v>
      </c>
      <c r="N6" s="54" t="s">
        <v>56</v>
      </c>
      <c r="O6" s="54" t="s">
        <v>57</v>
      </c>
      <c r="P6" s="55"/>
    </row>
    <row r="7" spans="1:18" ht="84">
      <c r="A7" s="102"/>
      <c r="B7" s="11">
        <f t="shared" si="0"/>
        <v>6</v>
      </c>
      <c r="C7" s="11"/>
      <c r="D7" s="45" t="s">
        <v>62</v>
      </c>
      <c r="E7" s="13" t="s">
        <v>44</v>
      </c>
      <c r="F7" s="14" t="s">
        <v>45</v>
      </c>
      <c r="G7" s="13" t="s">
        <v>46</v>
      </c>
      <c r="H7" s="14" t="s">
        <v>45</v>
      </c>
      <c r="I7" s="14" t="s">
        <v>45</v>
      </c>
      <c r="J7" s="14" t="s">
        <v>45</v>
      </c>
      <c r="K7" s="14" t="s">
        <v>45</v>
      </c>
      <c r="L7" s="21">
        <v>8</v>
      </c>
      <c r="M7" s="45" t="s">
        <v>63</v>
      </c>
      <c r="N7" s="54" t="s">
        <v>56</v>
      </c>
      <c r="O7" s="54" t="s">
        <v>57</v>
      </c>
      <c r="P7" s="55"/>
    </row>
    <row r="8" spans="1:18">
      <c r="A8" s="44"/>
      <c r="B8" s="11">
        <f t="shared" si="0"/>
        <v>7</v>
      </c>
      <c r="C8" s="11"/>
      <c r="D8" s="45" t="s">
        <v>238</v>
      </c>
      <c r="E8" s="13" t="s">
        <v>44</v>
      </c>
      <c r="F8" s="14" t="s">
        <v>45</v>
      </c>
      <c r="G8" s="13" t="s">
        <v>46</v>
      </c>
      <c r="H8" s="14" t="s">
        <v>45</v>
      </c>
      <c r="I8" s="14" t="s">
        <v>45</v>
      </c>
      <c r="J8" s="14" t="s">
        <v>45</v>
      </c>
      <c r="K8" s="14" t="s">
        <v>45</v>
      </c>
      <c r="L8" s="21">
        <v>8</v>
      </c>
      <c r="M8" s="45"/>
      <c r="N8" s="54"/>
      <c r="O8" s="54"/>
      <c r="P8" s="55"/>
    </row>
    <row r="9" spans="1:18">
      <c r="A9" s="44"/>
      <c r="B9" s="11">
        <f t="shared" si="0"/>
        <v>8</v>
      </c>
      <c r="C9" s="11"/>
      <c r="D9" s="45" t="s">
        <v>238</v>
      </c>
      <c r="E9" s="13" t="s">
        <v>44</v>
      </c>
      <c r="F9" s="14" t="s">
        <v>45</v>
      </c>
      <c r="G9" s="13" t="s">
        <v>46</v>
      </c>
      <c r="H9" s="14" t="s">
        <v>45</v>
      </c>
      <c r="I9" s="14" t="s">
        <v>45</v>
      </c>
      <c r="J9" s="14" t="s">
        <v>45</v>
      </c>
      <c r="K9" s="14" t="s">
        <v>45</v>
      </c>
      <c r="L9" s="21">
        <v>8</v>
      </c>
      <c r="M9" s="45"/>
      <c r="N9" s="54"/>
      <c r="O9" s="54"/>
      <c r="P9" s="55"/>
    </row>
    <row r="10" spans="1:18" ht="14.25">
      <c r="A10" s="114" t="s">
        <v>239</v>
      </c>
      <c r="B10" s="46">
        <f t="shared" si="0"/>
        <v>9</v>
      </c>
      <c r="C10" s="46"/>
      <c r="D10" s="47" t="s">
        <v>234</v>
      </c>
      <c r="E10" s="48" t="s">
        <v>44</v>
      </c>
      <c r="F10" s="48" t="s">
        <v>45</v>
      </c>
      <c r="G10" s="48" t="s">
        <v>46</v>
      </c>
      <c r="H10" s="48" t="s">
        <v>45</v>
      </c>
      <c r="I10" s="56"/>
      <c r="J10" s="56"/>
      <c r="K10" s="56"/>
      <c r="L10" s="48">
        <v>16</v>
      </c>
      <c r="M10" s="49" t="s">
        <v>240</v>
      </c>
      <c r="N10" s="54"/>
      <c r="O10" s="54"/>
      <c r="P10" s="55"/>
    </row>
    <row r="11" spans="1:18">
      <c r="A11" s="115"/>
      <c r="B11" s="46">
        <f t="shared" si="0"/>
        <v>10</v>
      </c>
      <c r="C11" s="46"/>
      <c r="D11" s="49" t="s">
        <v>48</v>
      </c>
      <c r="E11" s="48" t="s">
        <v>44</v>
      </c>
      <c r="F11" s="48" t="s">
        <v>45</v>
      </c>
      <c r="G11" s="48" t="s">
        <v>46</v>
      </c>
      <c r="H11" s="48" t="s">
        <v>45</v>
      </c>
      <c r="I11" s="56"/>
      <c r="J11" s="56"/>
      <c r="K11" s="56"/>
      <c r="L11" s="48">
        <v>16</v>
      </c>
      <c r="M11" s="49" t="s">
        <v>241</v>
      </c>
      <c r="N11" s="54"/>
      <c r="O11" s="54"/>
      <c r="P11" s="55"/>
    </row>
    <row r="12" spans="1:18">
      <c r="A12" s="115"/>
      <c r="B12" s="46">
        <f t="shared" si="0"/>
        <v>11</v>
      </c>
      <c r="C12" s="46"/>
      <c r="D12" s="49" t="s">
        <v>109</v>
      </c>
      <c r="E12" s="48" t="s">
        <v>44</v>
      </c>
      <c r="F12" s="48"/>
      <c r="G12" s="48" t="s">
        <v>46</v>
      </c>
      <c r="H12" s="48"/>
      <c r="I12" s="56"/>
      <c r="J12" s="56"/>
      <c r="K12" s="56"/>
      <c r="L12" s="48">
        <v>8</v>
      </c>
      <c r="M12" s="49"/>
      <c r="N12" s="54"/>
      <c r="O12" s="54"/>
      <c r="P12" s="55"/>
    </row>
    <row r="13" spans="1:18">
      <c r="A13" s="115"/>
      <c r="B13" s="46">
        <f t="shared" si="0"/>
        <v>12</v>
      </c>
      <c r="C13" s="46"/>
      <c r="D13" s="47" t="s">
        <v>242</v>
      </c>
      <c r="E13" s="50" t="s">
        <v>111</v>
      </c>
      <c r="F13" s="50"/>
      <c r="G13" s="50" t="s">
        <v>46</v>
      </c>
      <c r="H13" s="50"/>
      <c r="I13" s="57"/>
      <c r="J13" s="57"/>
      <c r="K13" s="57"/>
      <c r="L13" s="57">
        <v>8</v>
      </c>
      <c r="M13" s="58" t="s">
        <v>693</v>
      </c>
      <c r="N13" s="59"/>
      <c r="O13" s="59"/>
      <c r="P13" s="60"/>
    </row>
    <row r="14" spans="1:18">
      <c r="A14" s="115"/>
      <c r="B14" s="46">
        <f t="shared" si="0"/>
        <v>13</v>
      </c>
      <c r="C14" s="46"/>
      <c r="D14" s="47" t="s">
        <v>243</v>
      </c>
      <c r="E14" s="48" t="s">
        <v>44</v>
      </c>
      <c r="F14" s="48"/>
      <c r="G14" s="48" t="s">
        <v>46</v>
      </c>
      <c r="H14" s="48"/>
      <c r="I14" s="48"/>
      <c r="J14" s="48"/>
      <c r="K14" s="48"/>
      <c r="L14" s="48">
        <v>16</v>
      </c>
      <c r="M14" s="49" t="s">
        <v>244</v>
      </c>
    </row>
    <row r="15" spans="1:18" ht="48">
      <c r="A15" s="115"/>
      <c r="B15" s="46">
        <f t="shared" si="0"/>
        <v>14</v>
      </c>
      <c r="C15" s="46"/>
      <c r="D15" s="47" t="s">
        <v>245</v>
      </c>
      <c r="E15" s="48" t="s">
        <v>44</v>
      </c>
      <c r="F15" s="48"/>
      <c r="G15" s="48" t="s">
        <v>46</v>
      </c>
      <c r="H15" s="48"/>
      <c r="I15" s="56"/>
      <c r="J15" s="56"/>
      <c r="K15" s="56"/>
      <c r="L15" s="48">
        <v>16</v>
      </c>
      <c r="M15" s="49" t="s">
        <v>246</v>
      </c>
      <c r="N15" s="54" t="s">
        <v>247</v>
      </c>
      <c r="O15" s="54"/>
      <c r="P15" s="55"/>
    </row>
    <row r="16" spans="1:18" ht="48">
      <c r="A16" s="115"/>
      <c r="B16" s="46">
        <f t="shared" si="0"/>
        <v>15</v>
      </c>
      <c r="C16" s="46"/>
      <c r="D16" s="47" t="s">
        <v>248</v>
      </c>
      <c r="E16" s="48" t="s">
        <v>44</v>
      </c>
      <c r="F16" s="48"/>
      <c r="G16" s="48" t="s">
        <v>46</v>
      </c>
      <c r="H16" s="48"/>
      <c r="I16" s="56"/>
      <c r="J16" s="56"/>
      <c r="K16" s="56"/>
      <c r="L16" s="48">
        <v>16</v>
      </c>
      <c r="M16" s="49" t="s">
        <v>249</v>
      </c>
      <c r="N16" s="54" t="s">
        <v>247</v>
      </c>
      <c r="O16" s="54"/>
      <c r="P16" s="55"/>
    </row>
    <row r="17" spans="1:18" ht="48">
      <c r="A17" s="115"/>
      <c r="B17" s="46">
        <f t="shared" si="0"/>
        <v>16</v>
      </c>
      <c r="C17" s="46"/>
      <c r="D17" s="47" t="s">
        <v>250</v>
      </c>
      <c r="E17" s="48" t="s">
        <v>44</v>
      </c>
      <c r="F17" s="48"/>
      <c r="G17" s="48" t="s">
        <v>46</v>
      </c>
      <c r="H17" s="48"/>
      <c r="I17" s="56"/>
      <c r="J17" s="56"/>
      <c r="K17" s="56"/>
      <c r="L17" s="48">
        <v>16</v>
      </c>
      <c r="M17" s="49" t="s">
        <v>251</v>
      </c>
      <c r="N17" s="54" t="s">
        <v>247</v>
      </c>
      <c r="O17" s="54"/>
      <c r="P17" s="55"/>
    </row>
    <row r="18" spans="1:18" ht="48">
      <c r="A18" s="115"/>
      <c r="B18" s="46">
        <f t="shared" si="0"/>
        <v>17</v>
      </c>
      <c r="C18" s="46"/>
      <c r="D18" s="47" t="s">
        <v>252</v>
      </c>
      <c r="E18" s="48" t="s">
        <v>44</v>
      </c>
      <c r="F18" s="48"/>
      <c r="G18" s="48" t="s">
        <v>46</v>
      </c>
      <c r="H18" s="48"/>
      <c r="I18" s="56"/>
      <c r="J18" s="56"/>
      <c r="K18" s="56"/>
      <c r="L18" s="48">
        <v>16</v>
      </c>
      <c r="M18" s="49" t="s">
        <v>253</v>
      </c>
      <c r="N18" s="54" t="s">
        <v>247</v>
      </c>
      <c r="O18" s="54"/>
      <c r="P18" s="55"/>
    </row>
    <row r="19" spans="1:18">
      <c r="A19" s="115"/>
      <c r="B19" s="46">
        <f t="shared" si="0"/>
        <v>18</v>
      </c>
      <c r="C19" s="46"/>
      <c r="D19" s="47" t="s">
        <v>254</v>
      </c>
      <c r="E19" s="48" t="s">
        <v>44</v>
      </c>
      <c r="F19" s="48"/>
      <c r="G19" s="48" t="s">
        <v>46</v>
      </c>
      <c r="H19" s="48"/>
      <c r="I19" s="56"/>
      <c r="J19" s="56"/>
      <c r="K19" s="56"/>
      <c r="L19" s="48">
        <v>16</v>
      </c>
      <c r="M19" s="49" t="s">
        <v>255</v>
      </c>
      <c r="N19" s="54" t="s">
        <v>56</v>
      </c>
      <c r="O19" s="54" t="s">
        <v>256</v>
      </c>
      <c r="P19" s="55"/>
    </row>
    <row r="20" spans="1:18" ht="48">
      <c r="A20" s="115"/>
      <c r="B20" s="46">
        <f t="shared" si="0"/>
        <v>19</v>
      </c>
      <c r="C20" s="46"/>
      <c r="D20" s="47" t="s">
        <v>257</v>
      </c>
      <c r="E20" s="48" t="s">
        <v>111</v>
      </c>
      <c r="F20" s="48"/>
      <c r="G20" s="48" t="s">
        <v>46</v>
      </c>
      <c r="H20" s="48"/>
      <c r="I20" s="56"/>
      <c r="J20" s="56"/>
      <c r="K20" s="56"/>
      <c r="L20" s="56">
        <v>16</v>
      </c>
      <c r="M20" s="49" t="s">
        <v>258</v>
      </c>
      <c r="N20" s="54" t="s">
        <v>247</v>
      </c>
      <c r="O20" s="54"/>
      <c r="P20" s="55"/>
    </row>
    <row r="21" spans="1:18" ht="24">
      <c r="A21" s="51"/>
      <c r="B21" s="46">
        <f t="shared" si="0"/>
        <v>20</v>
      </c>
      <c r="C21" s="52"/>
      <c r="D21" s="47" t="s">
        <v>259</v>
      </c>
      <c r="E21" s="50" t="s">
        <v>44</v>
      </c>
      <c r="F21" s="50"/>
      <c r="G21" s="50" t="s">
        <v>46</v>
      </c>
      <c r="H21" s="50"/>
      <c r="I21" s="57"/>
      <c r="J21" s="57"/>
      <c r="K21" s="57"/>
      <c r="L21" s="57">
        <v>16</v>
      </c>
      <c r="M21" s="58" t="s">
        <v>260</v>
      </c>
      <c r="N21" s="59"/>
      <c r="O21" s="59"/>
      <c r="P21" s="60"/>
      <c r="Q21" s="63"/>
      <c r="R21" s="63"/>
    </row>
    <row r="22" spans="1:18" ht="24">
      <c r="A22" s="51"/>
      <c r="B22" s="46">
        <f t="shared" si="0"/>
        <v>21</v>
      </c>
      <c r="C22" s="52"/>
      <c r="D22" s="47" t="s">
        <v>261</v>
      </c>
      <c r="E22" s="50" t="s">
        <v>44</v>
      </c>
      <c r="F22" s="50"/>
      <c r="G22" s="50" t="s">
        <v>46</v>
      </c>
      <c r="H22" s="50"/>
      <c r="I22" s="57"/>
      <c r="J22" s="57"/>
      <c r="K22" s="57"/>
      <c r="L22" s="57">
        <v>16</v>
      </c>
      <c r="M22" s="58" t="s">
        <v>262</v>
      </c>
      <c r="N22" s="59"/>
      <c r="O22" s="59"/>
      <c r="P22" s="60"/>
      <c r="Q22" s="63"/>
      <c r="R22" s="63"/>
    </row>
    <row r="23" spans="1:18" ht="48">
      <c r="A23" s="51"/>
      <c r="B23" s="46">
        <f t="shared" si="0"/>
        <v>22</v>
      </c>
      <c r="C23" s="52"/>
      <c r="D23" s="47" t="s">
        <v>263</v>
      </c>
      <c r="E23" s="48" t="s">
        <v>44</v>
      </c>
      <c r="F23" s="48"/>
      <c r="G23" s="48" t="s">
        <v>46</v>
      </c>
      <c r="H23" s="48"/>
      <c r="I23" s="56"/>
      <c r="J23" s="56"/>
      <c r="K23" s="56"/>
      <c r="L23" s="48">
        <v>8</v>
      </c>
      <c r="M23" s="49" t="s">
        <v>264</v>
      </c>
      <c r="N23" s="54" t="s">
        <v>247</v>
      </c>
      <c r="O23" s="54"/>
      <c r="P23" s="55"/>
      <c r="Q23" s="63"/>
      <c r="R23" s="63"/>
    </row>
    <row r="24" spans="1:18" ht="48">
      <c r="A24" s="51"/>
      <c r="B24" s="46">
        <f t="shared" si="0"/>
        <v>23</v>
      </c>
      <c r="C24" s="52"/>
      <c r="D24" s="47" t="s">
        <v>265</v>
      </c>
      <c r="E24" s="50" t="s">
        <v>111</v>
      </c>
      <c r="F24" s="50"/>
      <c r="G24" s="50" t="s">
        <v>46</v>
      </c>
      <c r="H24" s="50"/>
      <c r="I24" s="57"/>
      <c r="J24" s="57"/>
      <c r="K24" s="57"/>
      <c r="L24" s="57">
        <v>8</v>
      </c>
      <c r="M24" s="58" t="s">
        <v>266</v>
      </c>
      <c r="N24" s="59" t="s">
        <v>247</v>
      </c>
      <c r="O24" s="59"/>
      <c r="P24" s="60"/>
      <c r="Q24" s="63"/>
      <c r="R24" s="63"/>
    </row>
    <row r="25" spans="1:18" ht="48">
      <c r="A25" s="51"/>
      <c r="B25" s="46">
        <f t="shared" si="0"/>
        <v>24</v>
      </c>
      <c r="C25" s="52"/>
      <c r="D25" s="47" t="s">
        <v>267</v>
      </c>
      <c r="E25" s="50" t="s">
        <v>111</v>
      </c>
      <c r="F25" s="50"/>
      <c r="G25" s="50" t="s">
        <v>46</v>
      </c>
      <c r="H25" s="50"/>
      <c r="I25" s="57"/>
      <c r="J25" s="57"/>
      <c r="K25" s="57"/>
      <c r="L25" s="57">
        <v>8</v>
      </c>
      <c r="M25" s="58" t="s">
        <v>268</v>
      </c>
      <c r="N25" s="59" t="s">
        <v>247</v>
      </c>
      <c r="O25" s="59"/>
      <c r="P25" s="60"/>
      <c r="Q25" s="63"/>
      <c r="R25" s="63"/>
    </row>
    <row r="26" spans="1:18" ht="24">
      <c r="A26" s="51"/>
      <c r="B26" s="46">
        <f t="shared" si="0"/>
        <v>25</v>
      </c>
      <c r="C26" s="52"/>
      <c r="D26" s="47" t="s">
        <v>269</v>
      </c>
      <c r="E26" s="50" t="s">
        <v>44</v>
      </c>
      <c r="F26" s="50"/>
      <c r="G26" s="50" t="s">
        <v>270</v>
      </c>
      <c r="H26" s="50"/>
      <c r="I26" s="57"/>
      <c r="J26" s="57"/>
      <c r="K26" s="57"/>
      <c r="L26" s="57">
        <v>8</v>
      </c>
      <c r="M26" s="58" t="s">
        <v>271</v>
      </c>
      <c r="N26" s="59"/>
      <c r="O26" s="59"/>
      <c r="P26" s="60"/>
      <c r="Q26" s="63"/>
      <c r="R26" s="63"/>
    </row>
    <row r="27" spans="1:18">
      <c r="A27" s="51"/>
      <c r="B27" s="46">
        <f t="shared" si="0"/>
        <v>26</v>
      </c>
      <c r="C27" s="52"/>
      <c r="D27" s="47" t="s">
        <v>272</v>
      </c>
      <c r="E27" s="50" t="s">
        <v>44</v>
      </c>
      <c r="F27" s="50"/>
      <c r="G27" s="50" t="s">
        <v>270</v>
      </c>
      <c r="H27" s="50"/>
      <c r="I27" s="57"/>
      <c r="J27" s="57"/>
      <c r="K27" s="57"/>
      <c r="L27" s="57">
        <v>8</v>
      </c>
      <c r="M27" s="58" t="s">
        <v>273</v>
      </c>
      <c r="N27" s="59"/>
      <c r="O27" s="59"/>
      <c r="P27" s="60"/>
      <c r="Q27" s="63"/>
      <c r="R27" s="63"/>
    </row>
    <row r="28" spans="1:18">
      <c r="A28" s="51"/>
      <c r="B28" s="46">
        <f t="shared" si="0"/>
        <v>27</v>
      </c>
      <c r="C28" s="52"/>
      <c r="D28" s="47" t="s">
        <v>274</v>
      </c>
      <c r="E28" s="50" t="s">
        <v>44</v>
      </c>
      <c r="F28" s="50"/>
      <c r="G28" s="50" t="s">
        <v>270</v>
      </c>
      <c r="H28" s="50"/>
      <c r="I28" s="57"/>
      <c r="J28" s="57"/>
      <c r="K28" s="57"/>
      <c r="L28" s="57">
        <v>8</v>
      </c>
      <c r="M28" s="58" t="s">
        <v>275</v>
      </c>
      <c r="N28" s="59"/>
      <c r="O28" s="59"/>
      <c r="P28" s="60"/>
      <c r="Q28" s="63"/>
      <c r="R28" s="63"/>
    </row>
    <row r="29" spans="1:18">
      <c r="A29" s="51"/>
      <c r="B29" s="46">
        <f t="shared" si="0"/>
        <v>28</v>
      </c>
      <c r="C29" s="52"/>
      <c r="D29" s="47" t="s">
        <v>276</v>
      </c>
      <c r="E29" s="50" t="s">
        <v>44</v>
      </c>
      <c r="F29" s="50"/>
      <c r="G29" s="50" t="s">
        <v>270</v>
      </c>
      <c r="H29" s="50"/>
      <c r="I29" s="57"/>
      <c r="J29" s="57"/>
      <c r="K29" s="57"/>
      <c r="L29" s="57">
        <v>8</v>
      </c>
      <c r="M29" s="58" t="s">
        <v>277</v>
      </c>
      <c r="N29" s="59"/>
      <c r="O29" s="59"/>
      <c r="P29" s="60"/>
      <c r="Q29" s="63"/>
      <c r="R29" s="63"/>
    </row>
    <row r="30" spans="1:18" ht="24">
      <c r="A30" s="51"/>
      <c r="B30" s="46">
        <f t="shared" si="0"/>
        <v>29</v>
      </c>
      <c r="C30" s="52"/>
      <c r="D30" s="47" t="s">
        <v>278</v>
      </c>
      <c r="E30" s="50" t="s">
        <v>44</v>
      </c>
      <c r="F30" s="50"/>
      <c r="G30" s="50" t="s">
        <v>46</v>
      </c>
      <c r="H30" s="50"/>
      <c r="I30" s="57"/>
      <c r="J30" s="57"/>
      <c r="K30" s="57"/>
      <c r="L30" s="57">
        <v>8</v>
      </c>
      <c r="M30" s="58" t="s">
        <v>279</v>
      </c>
      <c r="N30" s="59"/>
      <c r="O30" s="59"/>
      <c r="P30" s="60"/>
      <c r="Q30" s="63"/>
      <c r="R30" s="63"/>
    </row>
    <row r="31" spans="1:18" ht="24">
      <c r="A31" s="51"/>
      <c r="B31" s="46">
        <f t="shared" si="0"/>
        <v>30</v>
      </c>
      <c r="C31" s="52"/>
      <c r="D31" s="47" t="s">
        <v>280</v>
      </c>
      <c r="E31" s="50" t="s">
        <v>44</v>
      </c>
      <c r="F31" s="50"/>
      <c r="G31" s="50" t="s">
        <v>46</v>
      </c>
      <c r="H31" s="50"/>
      <c r="I31" s="57"/>
      <c r="J31" s="57"/>
      <c r="K31" s="57"/>
      <c r="L31" s="57">
        <v>8</v>
      </c>
      <c r="M31" s="58" t="s">
        <v>281</v>
      </c>
      <c r="N31" s="59"/>
      <c r="O31" s="59"/>
      <c r="P31" s="60"/>
      <c r="Q31" s="63"/>
      <c r="R31" s="63"/>
    </row>
    <row r="32" spans="1:18" ht="24">
      <c r="A32" s="51"/>
      <c r="B32" s="46">
        <f t="shared" si="0"/>
        <v>31</v>
      </c>
      <c r="C32" s="52"/>
      <c r="D32" s="47" t="s">
        <v>282</v>
      </c>
      <c r="E32" s="50" t="s">
        <v>44</v>
      </c>
      <c r="F32" s="50"/>
      <c r="G32" s="50" t="s">
        <v>46</v>
      </c>
      <c r="H32" s="50"/>
      <c r="I32" s="57"/>
      <c r="J32" s="57"/>
      <c r="K32" s="57"/>
      <c r="L32" s="57">
        <v>8</v>
      </c>
      <c r="M32" s="58" t="s">
        <v>283</v>
      </c>
      <c r="N32" s="59"/>
      <c r="O32" s="59"/>
      <c r="P32" s="60"/>
      <c r="Q32" s="63"/>
      <c r="R32" s="63"/>
    </row>
    <row r="33" spans="1:18" ht="24">
      <c r="A33" s="51"/>
      <c r="B33" s="46">
        <f t="shared" si="0"/>
        <v>32</v>
      </c>
      <c r="C33" s="52"/>
      <c r="D33" s="47" t="s">
        <v>284</v>
      </c>
      <c r="E33" s="50" t="s">
        <v>44</v>
      </c>
      <c r="F33" s="50"/>
      <c r="G33" s="50" t="s">
        <v>46</v>
      </c>
      <c r="H33" s="50"/>
      <c r="I33" s="57"/>
      <c r="J33" s="57"/>
      <c r="K33" s="57"/>
      <c r="L33" s="57">
        <v>8</v>
      </c>
      <c r="M33" s="58" t="s">
        <v>285</v>
      </c>
      <c r="N33" s="59"/>
      <c r="O33" s="59"/>
      <c r="P33" s="60"/>
      <c r="Q33" s="63"/>
      <c r="R33" s="63"/>
    </row>
    <row r="34" spans="1:18" ht="24">
      <c r="A34" s="51"/>
      <c r="B34" s="46">
        <f t="shared" si="0"/>
        <v>33</v>
      </c>
      <c r="C34" s="52"/>
      <c r="D34" s="47" t="s">
        <v>286</v>
      </c>
      <c r="E34" s="50" t="s">
        <v>44</v>
      </c>
      <c r="F34" s="50"/>
      <c r="G34" s="50" t="s">
        <v>46</v>
      </c>
      <c r="H34" s="50"/>
      <c r="I34" s="57"/>
      <c r="J34" s="57"/>
      <c r="K34" s="57"/>
      <c r="L34" s="57">
        <v>8</v>
      </c>
      <c r="M34" s="58" t="s">
        <v>287</v>
      </c>
      <c r="N34" s="59"/>
      <c r="O34" s="59"/>
      <c r="P34" s="60"/>
      <c r="Q34" s="63"/>
      <c r="R34" s="63"/>
    </row>
    <row r="35" spans="1:18" ht="24">
      <c r="A35" s="51"/>
      <c r="B35" s="46">
        <f t="shared" si="0"/>
        <v>34</v>
      </c>
      <c r="C35" s="52"/>
      <c r="D35" s="47" t="s">
        <v>288</v>
      </c>
      <c r="E35" s="50" t="s">
        <v>44</v>
      </c>
      <c r="F35" s="50"/>
      <c r="G35" s="50" t="s">
        <v>46</v>
      </c>
      <c r="H35" s="50"/>
      <c r="I35" s="57"/>
      <c r="J35" s="57"/>
      <c r="K35" s="57"/>
      <c r="L35" s="57">
        <v>8</v>
      </c>
      <c r="M35" s="58" t="s">
        <v>289</v>
      </c>
      <c r="N35" s="59"/>
      <c r="O35" s="59"/>
      <c r="P35" s="60"/>
      <c r="Q35" s="63"/>
      <c r="R35" s="63"/>
    </row>
    <row r="36" spans="1:18" ht="14.25">
      <c r="A36" s="116" t="s">
        <v>290</v>
      </c>
      <c r="B36" s="11">
        <f t="shared" si="0"/>
        <v>35</v>
      </c>
      <c r="C36" s="11"/>
      <c r="D36" s="53" t="s">
        <v>234</v>
      </c>
      <c r="E36" s="13" t="s">
        <v>44</v>
      </c>
      <c r="F36" s="14" t="s">
        <v>45</v>
      </c>
      <c r="G36" s="13" t="s">
        <v>46</v>
      </c>
      <c r="H36" s="14" t="s">
        <v>45</v>
      </c>
      <c r="I36" s="14" t="s">
        <v>45</v>
      </c>
      <c r="J36" s="14" t="s">
        <v>45</v>
      </c>
      <c r="K36" s="14" t="s">
        <v>45</v>
      </c>
      <c r="L36" s="13">
        <v>16</v>
      </c>
      <c r="M36" s="45" t="s">
        <v>291</v>
      </c>
      <c r="N36" s="54"/>
      <c r="O36" s="54"/>
      <c r="P36" s="55"/>
    </row>
    <row r="37" spans="1:18">
      <c r="A37" s="116"/>
      <c r="B37" s="11">
        <f t="shared" si="0"/>
        <v>36</v>
      </c>
      <c r="C37" s="11"/>
      <c r="D37" s="45" t="s">
        <v>48</v>
      </c>
      <c r="E37" s="13" t="s">
        <v>44</v>
      </c>
      <c r="F37" s="14" t="s">
        <v>45</v>
      </c>
      <c r="G37" s="13" t="s">
        <v>46</v>
      </c>
      <c r="H37" s="14" t="s">
        <v>45</v>
      </c>
      <c r="I37" s="14" t="s">
        <v>45</v>
      </c>
      <c r="J37" s="14" t="s">
        <v>45</v>
      </c>
      <c r="K37" s="14" t="s">
        <v>45</v>
      </c>
      <c r="L37" s="13">
        <v>16</v>
      </c>
      <c r="M37" s="45" t="s">
        <v>292</v>
      </c>
      <c r="N37" s="54"/>
      <c r="O37" s="54"/>
      <c r="P37" s="55"/>
    </row>
    <row r="38" spans="1:18">
      <c r="A38" s="116"/>
      <c r="B38" s="11">
        <f t="shared" si="0"/>
        <v>37</v>
      </c>
      <c r="C38" s="11"/>
      <c r="D38" s="45" t="s">
        <v>109</v>
      </c>
      <c r="E38" s="13" t="s">
        <v>44</v>
      </c>
      <c r="F38" s="14" t="s">
        <v>45</v>
      </c>
      <c r="G38" s="13" t="s">
        <v>46</v>
      </c>
      <c r="H38" s="14" t="s">
        <v>45</v>
      </c>
      <c r="I38" s="14" t="s">
        <v>45</v>
      </c>
      <c r="J38" s="14" t="s">
        <v>45</v>
      </c>
      <c r="K38" s="14" t="s">
        <v>45</v>
      </c>
      <c r="L38" s="13">
        <v>8</v>
      </c>
      <c r="M38" s="45"/>
      <c r="N38" s="54"/>
      <c r="O38" s="54"/>
      <c r="P38" s="55"/>
    </row>
    <row r="39" spans="1:18">
      <c r="A39" s="116"/>
      <c r="B39" s="11">
        <f t="shared" si="0"/>
        <v>38</v>
      </c>
      <c r="C39" s="11"/>
      <c r="D39" s="45" t="s">
        <v>243</v>
      </c>
      <c r="E39" s="13" t="s">
        <v>44</v>
      </c>
      <c r="F39" s="13" t="s">
        <v>45</v>
      </c>
      <c r="G39" s="13" t="s">
        <v>46</v>
      </c>
      <c r="H39" s="13" t="s">
        <v>45</v>
      </c>
      <c r="I39" s="13" t="s">
        <v>45</v>
      </c>
      <c r="J39" s="13" t="s">
        <v>45</v>
      </c>
      <c r="K39" s="13" t="s">
        <v>45</v>
      </c>
      <c r="L39" s="13">
        <v>16</v>
      </c>
      <c r="M39" s="45" t="s">
        <v>244</v>
      </c>
      <c r="N39" s="54"/>
      <c r="O39" s="54"/>
      <c r="P39" s="55"/>
    </row>
    <row r="40" spans="1:18">
      <c r="A40" s="116"/>
      <c r="B40" s="11">
        <f t="shared" si="0"/>
        <v>39</v>
      </c>
      <c r="C40" s="11"/>
      <c r="D40" s="45" t="s">
        <v>293</v>
      </c>
      <c r="E40" s="13" t="s">
        <v>44</v>
      </c>
      <c r="F40" s="14" t="s">
        <v>45</v>
      </c>
      <c r="G40" s="13" t="s">
        <v>46</v>
      </c>
      <c r="H40" s="14" t="s">
        <v>45</v>
      </c>
      <c r="I40" s="14" t="s">
        <v>45</v>
      </c>
      <c r="J40" s="14" t="s">
        <v>45</v>
      </c>
      <c r="K40" s="14" t="s">
        <v>45</v>
      </c>
      <c r="L40" s="61">
        <v>8</v>
      </c>
      <c r="M40" s="45" t="s">
        <v>294</v>
      </c>
      <c r="N40" s="55"/>
      <c r="O40" s="55"/>
      <c r="P40" s="55"/>
    </row>
    <row r="41" spans="1:18">
      <c r="A41" s="116"/>
      <c r="B41" s="11">
        <f t="shared" si="0"/>
        <v>40</v>
      </c>
      <c r="C41" s="11"/>
      <c r="D41" s="45" t="s">
        <v>295</v>
      </c>
      <c r="E41" s="13" t="s">
        <v>44</v>
      </c>
      <c r="F41" s="14" t="s">
        <v>45</v>
      </c>
      <c r="G41" s="13" t="s">
        <v>46</v>
      </c>
      <c r="H41" s="14" t="s">
        <v>45</v>
      </c>
      <c r="I41" s="14" t="s">
        <v>45</v>
      </c>
      <c r="J41" s="14" t="s">
        <v>45</v>
      </c>
      <c r="K41" s="14" t="s">
        <v>45</v>
      </c>
      <c r="L41" s="61">
        <v>8</v>
      </c>
      <c r="M41" s="45" t="s">
        <v>296</v>
      </c>
      <c r="N41" s="55"/>
      <c r="O41" s="55"/>
      <c r="P41" s="55"/>
    </row>
    <row r="42" spans="1:18">
      <c r="A42" s="116"/>
      <c r="B42" s="11">
        <f t="shared" si="0"/>
        <v>41</v>
      </c>
      <c r="C42" s="11"/>
      <c r="D42" s="45" t="s">
        <v>297</v>
      </c>
      <c r="E42" s="13" t="s">
        <v>44</v>
      </c>
      <c r="F42" s="14" t="s">
        <v>45</v>
      </c>
      <c r="G42" s="13" t="s">
        <v>46</v>
      </c>
      <c r="H42" s="14" t="s">
        <v>45</v>
      </c>
      <c r="I42" s="14" t="s">
        <v>45</v>
      </c>
      <c r="J42" s="14" t="s">
        <v>45</v>
      </c>
      <c r="K42" s="14" t="s">
        <v>45</v>
      </c>
      <c r="L42" s="61">
        <v>8</v>
      </c>
      <c r="M42" s="45" t="s">
        <v>298</v>
      </c>
      <c r="N42" s="55"/>
      <c r="O42" s="55"/>
      <c r="P42" s="55"/>
    </row>
    <row r="43" spans="1:18">
      <c r="A43" s="116"/>
      <c r="B43" s="11">
        <f t="shared" si="0"/>
        <v>42</v>
      </c>
      <c r="C43" s="11"/>
      <c r="D43" s="45" t="s">
        <v>299</v>
      </c>
      <c r="E43" s="13" t="s">
        <v>44</v>
      </c>
      <c r="F43" s="14" t="s">
        <v>45</v>
      </c>
      <c r="G43" s="13" t="s">
        <v>46</v>
      </c>
      <c r="H43" s="14" t="s">
        <v>45</v>
      </c>
      <c r="I43" s="14" t="s">
        <v>45</v>
      </c>
      <c r="J43" s="14" t="s">
        <v>45</v>
      </c>
      <c r="K43" s="14" t="s">
        <v>45</v>
      </c>
      <c r="L43" s="61">
        <v>8</v>
      </c>
      <c r="M43" s="45" t="s">
        <v>300</v>
      </c>
      <c r="N43" s="55"/>
      <c r="O43" s="55"/>
      <c r="P43" s="55"/>
    </row>
    <row r="44" spans="1:18">
      <c r="A44" s="116"/>
      <c r="B44" s="11">
        <f t="shared" si="0"/>
        <v>43</v>
      </c>
      <c r="C44" s="11"/>
      <c r="D44" s="45" t="s">
        <v>301</v>
      </c>
      <c r="E44" s="13" t="s">
        <v>44</v>
      </c>
      <c r="F44" s="14" t="s">
        <v>45</v>
      </c>
      <c r="G44" s="13" t="s">
        <v>46</v>
      </c>
      <c r="H44" s="14" t="s">
        <v>45</v>
      </c>
      <c r="I44" s="14" t="s">
        <v>45</v>
      </c>
      <c r="J44" s="14" t="s">
        <v>45</v>
      </c>
      <c r="K44" s="14" t="s">
        <v>45</v>
      </c>
      <c r="L44" s="61">
        <v>8</v>
      </c>
      <c r="M44" s="45" t="s">
        <v>302</v>
      </c>
      <c r="N44" s="55"/>
      <c r="O44" s="55"/>
      <c r="P44" s="55"/>
    </row>
    <row r="45" spans="1:18">
      <c r="A45" s="116"/>
      <c r="B45" s="11">
        <f t="shared" si="0"/>
        <v>44</v>
      </c>
      <c r="C45" s="11"/>
      <c r="D45" s="45" t="s">
        <v>303</v>
      </c>
      <c r="E45" s="13" t="s">
        <v>44</v>
      </c>
      <c r="F45" s="14" t="s">
        <v>45</v>
      </c>
      <c r="G45" s="13" t="s">
        <v>46</v>
      </c>
      <c r="H45" s="14" t="s">
        <v>45</v>
      </c>
      <c r="I45" s="14" t="s">
        <v>45</v>
      </c>
      <c r="J45" s="14" t="s">
        <v>45</v>
      </c>
      <c r="K45" s="14" t="s">
        <v>45</v>
      </c>
      <c r="L45" s="61">
        <v>8</v>
      </c>
      <c r="M45" s="45" t="s">
        <v>304</v>
      </c>
      <c r="N45" s="55"/>
      <c r="O45" s="55"/>
      <c r="P45" s="55"/>
    </row>
    <row r="46" spans="1:18">
      <c r="A46" s="116"/>
      <c r="B46" s="11">
        <f t="shared" si="0"/>
        <v>45</v>
      </c>
      <c r="C46" s="11"/>
      <c r="D46" s="45" t="s">
        <v>305</v>
      </c>
      <c r="E46" s="13" t="s">
        <v>44</v>
      </c>
      <c r="F46" s="14" t="s">
        <v>45</v>
      </c>
      <c r="G46" s="13" t="s">
        <v>46</v>
      </c>
      <c r="H46" s="14" t="s">
        <v>45</v>
      </c>
      <c r="I46" s="14" t="s">
        <v>45</v>
      </c>
      <c r="J46" s="14" t="s">
        <v>45</v>
      </c>
      <c r="K46" s="14" t="s">
        <v>45</v>
      </c>
      <c r="L46" s="61">
        <v>8</v>
      </c>
      <c r="M46" s="45" t="s">
        <v>306</v>
      </c>
      <c r="N46" s="55"/>
      <c r="O46" s="55"/>
      <c r="P46" s="55"/>
    </row>
    <row r="47" spans="1:18">
      <c r="A47" s="116"/>
      <c r="B47" s="11">
        <f t="shared" si="0"/>
        <v>46</v>
      </c>
      <c r="C47" s="11"/>
      <c r="D47" s="45" t="s">
        <v>307</v>
      </c>
      <c r="E47" s="13" t="s">
        <v>44</v>
      </c>
      <c r="F47" s="14" t="s">
        <v>45</v>
      </c>
      <c r="G47" s="13" t="s">
        <v>46</v>
      </c>
      <c r="H47" s="14" t="s">
        <v>45</v>
      </c>
      <c r="I47" s="14" t="s">
        <v>45</v>
      </c>
      <c r="J47" s="14" t="s">
        <v>45</v>
      </c>
      <c r="K47" s="14" t="s">
        <v>45</v>
      </c>
      <c r="L47" s="61">
        <v>8</v>
      </c>
      <c r="M47" s="45" t="s">
        <v>308</v>
      </c>
      <c r="N47" s="55"/>
      <c r="O47" s="55"/>
      <c r="P47" s="55"/>
    </row>
    <row r="48" spans="1:18">
      <c r="A48" s="116"/>
      <c r="B48" s="11">
        <f t="shared" si="0"/>
        <v>47</v>
      </c>
      <c r="C48" s="11"/>
      <c r="D48" s="45" t="s">
        <v>309</v>
      </c>
      <c r="E48" s="13" t="s">
        <v>44</v>
      </c>
      <c r="F48" s="14" t="s">
        <v>45</v>
      </c>
      <c r="G48" s="13" t="s">
        <v>46</v>
      </c>
      <c r="H48" s="14" t="s">
        <v>45</v>
      </c>
      <c r="I48" s="14" t="s">
        <v>45</v>
      </c>
      <c r="J48" s="14" t="s">
        <v>45</v>
      </c>
      <c r="K48" s="14" t="s">
        <v>45</v>
      </c>
      <c r="L48" s="61">
        <v>8</v>
      </c>
      <c r="M48" s="45" t="s">
        <v>310</v>
      </c>
      <c r="N48" s="55"/>
      <c r="O48" s="55"/>
      <c r="P48" s="55"/>
    </row>
    <row r="49" spans="1:16">
      <c r="A49" s="116"/>
      <c r="B49" s="11">
        <f t="shared" si="0"/>
        <v>48</v>
      </c>
      <c r="C49" s="11"/>
      <c r="D49" s="45" t="s">
        <v>311</v>
      </c>
      <c r="E49" s="13" t="s">
        <v>44</v>
      </c>
      <c r="F49" s="14" t="s">
        <v>45</v>
      </c>
      <c r="G49" s="13" t="s">
        <v>46</v>
      </c>
      <c r="H49" s="14" t="s">
        <v>45</v>
      </c>
      <c r="I49" s="14" t="s">
        <v>45</v>
      </c>
      <c r="J49" s="14" t="s">
        <v>45</v>
      </c>
      <c r="K49" s="14" t="s">
        <v>45</v>
      </c>
      <c r="L49" s="61">
        <v>8</v>
      </c>
      <c r="M49" s="45" t="s">
        <v>312</v>
      </c>
      <c r="N49" s="55"/>
      <c r="O49" s="55"/>
      <c r="P49" s="55"/>
    </row>
    <row r="50" spans="1:16">
      <c r="A50" s="116"/>
      <c r="B50" s="11">
        <f t="shared" si="0"/>
        <v>49</v>
      </c>
      <c r="C50" s="11"/>
      <c r="D50" s="45" t="s">
        <v>313</v>
      </c>
      <c r="E50" s="13" t="s">
        <v>44</v>
      </c>
      <c r="F50" s="14" t="s">
        <v>45</v>
      </c>
      <c r="G50" s="13" t="s">
        <v>46</v>
      </c>
      <c r="H50" s="14" t="s">
        <v>45</v>
      </c>
      <c r="I50" s="14" t="s">
        <v>45</v>
      </c>
      <c r="J50" s="14" t="s">
        <v>45</v>
      </c>
      <c r="K50" s="14" t="s">
        <v>45</v>
      </c>
      <c r="L50" s="61">
        <v>8</v>
      </c>
      <c r="M50" s="45" t="s">
        <v>314</v>
      </c>
      <c r="N50" s="55"/>
      <c r="O50" s="55"/>
      <c r="P50" s="55"/>
    </row>
    <row r="51" spans="1:16">
      <c r="A51" s="116"/>
      <c r="B51" s="11">
        <f t="shared" si="0"/>
        <v>50</v>
      </c>
      <c r="C51" s="11"/>
      <c r="D51" s="45" t="s">
        <v>315</v>
      </c>
      <c r="E51" s="13" t="s">
        <v>44</v>
      </c>
      <c r="F51" s="14" t="s">
        <v>45</v>
      </c>
      <c r="G51" s="13" t="s">
        <v>46</v>
      </c>
      <c r="H51" s="14" t="s">
        <v>45</v>
      </c>
      <c r="I51" s="14" t="s">
        <v>45</v>
      </c>
      <c r="J51" s="14" t="s">
        <v>45</v>
      </c>
      <c r="K51" s="14" t="s">
        <v>45</v>
      </c>
      <c r="L51" s="61">
        <v>8</v>
      </c>
      <c r="M51" s="45" t="s">
        <v>316</v>
      </c>
      <c r="N51" s="55"/>
      <c r="O51" s="55"/>
      <c r="P51" s="55"/>
    </row>
    <row r="52" spans="1:16">
      <c r="A52" s="116"/>
      <c r="B52" s="11">
        <f t="shared" si="0"/>
        <v>51</v>
      </c>
      <c r="C52" s="11"/>
      <c r="D52" s="45" t="s">
        <v>317</v>
      </c>
      <c r="E52" s="13" t="s">
        <v>44</v>
      </c>
      <c r="F52" s="14" t="s">
        <v>45</v>
      </c>
      <c r="G52" s="13" t="s">
        <v>46</v>
      </c>
      <c r="H52" s="14" t="s">
        <v>45</v>
      </c>
      <c r="I52" s="14" t="s">
        <v>45</v>
      </c>
      <c r="J52" s="14" t="s">
        <v>45</v>
      </c>
      <c r="K52" s="14" t="s">
        <v>45</v>
      </c>
      <c r="L52" s="61">
        <v>8</v>
      </c>
      <c r="M52" s="45" t="s">
        <v>318</v>
      </c>
      <c r="N52" s="55"/>
      <c r="O52" s="55"/>
      <c r="P52" s="55"/>
    </row>
    <row r="53" spans="1:16">
      <c r="A53" s="116"/>
      <c r="B53" s="11">
        <f t="shared" si="0"/>
        <v>52</v>
      </c>
      <c r="C53" s="11"/>
      <c r="D53" s="45" t="s">
        <v>319</v>
      </c>
      <c r="E53" s="13" t="s">
        <v>111</v>
      </c>
      <c r="F53" s="14" t="s">
        <v>45</v>
      </c>
      <c r="G53" s="13" t="s">
        <v>46</v>
      </c>
      <c r="H53" s="14" t="s">
        <v>45</v>
      </c>
      <c r="I53" s="14" t="s">
        <v>45</v>
      </c>
      <c r="J53" s="14" t="s">
        <v>45</v>
      </c>
      <c r="K53" s="14" t="s">
        <v>45</v>
      </c>
      <c r="L53" s="61">
        <v>8</v>
      </c>
      <c r="M53" s="45" t="s">
        <v>320</v>
      </c>
      <c r="N53" s="55"/>
      <c r="O53" s="55"/>
      <c r="P53" s="55"/>
    </row>
    <row r="54" spans="1:16">
      <c r="A54" s="116"/>
      <c r="B54" s="11">
        <f t="shared" si="0"/>
        <v>53</v>
      </c>
      <c r="C54" s="11"/>
      <c r="D54" s="45" t="s">
        <v>321</v>
      </c>
      <c r="E54" s="13" t="s">
        <v>111</v>
      </c>
      <c r="F54" s="13" t="s">
        <v>45</v>
      </c>
      <c r="G54" s="13" t="s">
        <v>46</v>
      </c>
      <c r="H54" s="13" t="s">
        <v>45</v>
      </c>
      <c r="I54" s="13" t="s">
        <v>45</v>
      </c>
      <c r="J54" s="13" t="s">
        <v>45</v>
      </c>
      <c r="K54" s="13" t="s">
        <v>45</v>
      </c>
      <c r="L54" s="13">
        <v>16</v>
      </c>
      <c r="M54" s="45" t="s">
        <v>322</v>
      </c>
      <c r="N54" s="55"/>
      <c r="O54" s="55"/>
      <c r="P54" s="55"/>
    </row>
    <row r="55" spans="1:16">
      <c r="A55" s="116"/>
      <c r="B55" s="11">
        <f t="shared" si="0"/>
        <v>54</v>
      </c>
      <c r="C55" s="11"/>
      <c r="D55" s="45" t="s">
        <v>323</v>
      </c>
      <c r="E55" s="13" t="s">
        <v>44</v>
      </c>
      <c r="F55" s="14" t="s">
        <v>45</v>
      </c>
      <c r="G55" s="13" t="s">
        <v>46</v>
      </c>
      <c r="H55" s="14" t="s">
        <v>45</v>
      </c>
      <c r="I55" s="14" t="s">
        <v>45</v>
      </c>
      <c r="J55" s="14" t="s">
        <v>45</v>
      </c>
      <c r="K55" s="14" t="s">
        <v>45</v>
      </c>
      <c r="L55" s="61">
        <v>8</v>
      </c>
      <c r="M55" s="45" t="s">
        <v>324</v>
      </c>
      <c r="N55" s="55"/>
      <c r="O55" s="55"/>
      <c r="P55" s="55"/>
    </row>
    <row r="56" spans="1:16">
      <c r="A56" s="116"/>
      <c r="B56" s="11">
        <f>ROW(B54)</f>
        <v>54</v>
      </c>
      <c r="C56" s="11"/>
      <c r="D56" s="45" t="s">
        <v>325</v>
      </c>
      <c r="E56" s="13" t="s">
        <v>111</v>
      </c>
      <c r="F56" s="14" t="s">
        <v>45</v>
      </c>
      <c r="G56" s="13" t="s">
        <v>46</v>
      </c>
      <c r="H56" s="14" t="s">
        <v>45</v>
      </c>
      <c r="I56" s="14" t="s">
        <v>45</v>
      </c>
      <c r="J56" s="14" t="s">
        <v>45</v>
      </c>
      <c r="K56" s="14" t="s">
        <v>45</v>
      </c>
      <c r="L56" s="61">
        <v>8</v>
      </c>
      <c r="M56" s="45" t="s">
        <v>326</v>
      </c>
      <c r="N56" s="55"/>
      <c r="O56" s="55"/>
      <c r="P56" s="55"/>
    </row>
    <row r="57" spans="1:16">
      <c r="A57" s="116"/>
      <c r="B57" s="11">
        <f t="shared" si="0"/>
        <v>56</v>
      </c>
      <c r="C57" s="11"/>
      <c r="D57" s="45" t="s">
        <v>327</v>
      </c>
      <c r="E57" s="13" t="s">
        <v>111</v>
      </c>
      <c r="F57" s="13" t="s">
        <v>45</v>
      </c>
      <c r="G57" s="13" t="s">
        <v>46</v>
      </c>
      <c r="H57" s="13" t="s">
        <v>45</v>
      </c>
      <c r="I57" s="13" t="s">
        <v>45</v>
      </c>
      <c r="J57" s="13" t="s">
        <v>45</v>
      </c>
      <c r="K57" s="13" t="s">
        <v>45</v>
      </c>
      <c r="L57" s="13">
        <v>8</v>
      </c>
      <c r="M57" s="45" t="s">
        <v>328</v>
      </c>
      <c r="N57" s="55"/>
      <c r="O57" s="55"/>
      <c r="P57" s="55"/>
    </row>
    <row r="58" spans="1:16">
      <c r="A58" s="116"/>
      <c r="B58" s="11">
        <f t="shared" si="0"/>
        <v>57</v>
      </c>
      <c r="C58" s="11"/>
      <c r="D58" s="45" t="s">
        <v>329</v>
      </c>
      <c r="E58" s="13" t="s">
        <v>111</v>
      </c>
      <c r="F58" s="13" t="s">
        <v>45</v>
      </c>
      <c r="G58" s="13" t="s">
        <v>46</v>
      </c>
      <c r="H58" s="13" t="s">
        <v>45</v>
      </c>
      <c r="I58" s="13" t="s">
        <v>45</v>
      </c>
      <c r="J58" s="13" t="s">
        <v>45</v>
      </c>
      <c r="K58" s="13" t="s">
        <v>45</v>
      </c>
      <c r="L58" s="13">
        <v>8</v>
      </c>
      <c r="M58" s="45" t="s">
        <v>330</v>
      </c>
      <c r="N58" s="55"/>
      <c r="O58" s="55"/>
      <c r="P58" s="55"/>
    </row>
    <row r="59" spans="1:16">
      <c r="A59" s="116"/>
      <c r="B59" s="11">
        <f t="shared" si="0"/>
        <v>58</v>
      </c>
      <c r="C59" s="11"/>
      <c r="D59" s="45" t="s">
        <v>331</v>
      </c>
      <c r="E59" s="13" t="s">
        <v>111</v>
      </c>
      <c r="F59" s="13" t="s">
        <v>45</v>
      </c>
      <c r="G59" s="13" t="s">
        <v>46</v>
      </c>
      <c r="H59" s="13" t="s">
        <v>45</v>
      </c>
      <c r="I59" s="13" t="s">
        <v>45</v>
      </c>
      <c r="J59" s="13" t="s">
        <v>45</v>
      </c>
      <c r="K59" s="13" t="s">
        <v>45</v>
      </c>
      <c r="L59" s="13">
        <v>8</v>
      </c>
      <c r="M59" s="45" t="s">
        <v>332</v>
      </c>
      <c r="N59" s="55"/>
      <c r="O59" s="55"/>
      <c r="P59" s="55"/>
    </row>
    <row r="60" spans="1:16">
      <c r="A60" s="116"/>
      <c r="B60" s="11">
        <f t="shared" si="0"/>
        <v>59</v>
      </c>
      <c r="C60" s="11"/>
      <c r="D60" s="45" t="s">
        <v>333</v>
      </c>
      <c r="E60" s="13" t="s">
        <v>111</v>
      </c>
      <c r="F60" s="13" t="s">
        <v>45</v>
      </c>
      <c r="G60" s="13" t="s">
        <v>46</v>
      </c>
      <c r="H60" s="13" t="s">
        <v>45</v>
      </c>
      <c r="I60" s="13" t="s">
        <v>45</v>
      </c>
      <c r="J60" s="13" t="s">
        <v>45</v>
      </c>
      <c r="K60" s="13" t="s">
        <v>45</v>
      </c>
      <c r="L60" s="13">
        <v>16</v>
      </c>
      <c r="M60" s="45" t="s">
        <v>334</v>
      </c>
      <c r="N60" s="55"/>
      <c r="O60" s="55"/>
      <c r="P60" s="55"/>
    </row>
    <row r="61" spans="1:16">
      <c r="A61" s="116"/>
      <c r="B61" s="11">
        <f t="shared" si="0"/>
        <v>60</v>
      </c>
      <c r="C61" s="11"/>
      <c r="D61" s="45" t="s">
        <v>335</v>
      </c>
      <c r="E61" s="13" t="s">
        <v>44</v>
      </c>
      <c r="F61" s="13" t="s">
        <v>45</v>
      </c>
      <c r="G61" s="13" t="s">
        <v>46</v>
      </c>
      <c r="H61" s="13" t="s">
        <v>45</v>
      </c>
      <c r="I61" s="13" t="s">
        <v>45</v>
      </c>
      <c r="J61" s="13" t="s">
        <v>45</v>
      </c>
      <c r="K61" s="13" t="s">
        <v>45</v>
      </c>
      <c r="L61" s="13">
        <v>8</v>
      </c>
      <c r="M61" s="45" t="s">
        <v>336</v>
      </c>
      <c r="N61" s="55"/>
      <c r="O61" s="55"/>
      <c r="P61" s="55"/>
    </row>
    <row r="62" spans="1:16">
      <c r="A62" s="116"/>
      <c r="B62" s="11">
        <f t="shared" si="0"/>
        <v>61</v>
      </c>
      <c r="C62" s="11"/>
      <c r="D62" s="45" t="s">
        <v>337</v>
      </c>
      <c r="E62" s="13" t="s">
        <v>44</v>
      </c>
      <c r="F62" s="14" t="s">
        <v>45</v>
      </c>
      <c r="G62" s="13" t="s">
        <v>46</v>
      </c>
      <c r="H62" s="14" t="s">
        <v>45</v>
      </c>
      <c r="I62" s="14" t="s">
        <v>45</v>
      </c>
      <c r="J62" s="14" t="s">
        <v>45</v>
      </c>
      <c r="K62" s="14" t="s">
        <v>45</v>
      </c>
      <c r="L62" s="61">
        <v>8</v>
      </c>
      <c r="M62" s="45" t="s">
        <v>338</v>
      </c>
      <c r="N62" s="55"/>
      <c r="O62" s="55"/>
      <c r="P62" s="55"/>
    </row>
    <row r="63" spans="1:16">
      <c r="A63" s="116"/>
      <c r="B63" s="11">
        <f t="shared" si="0"/>
        <v>62</v>
      </c>
      <c r="C63" s="11"/>
      <c r="D63" s="45" t="s">
        <v>339</v>
      </c>
      <c r="E63" s="13" t="s">
        <v>44</v>
      </c>
      <c r="F63" s="14" t="s">
        <v>45</v>
      </c>
      <c r="G63" s="13" t="s">
        <v>46</v>
      </c>
      <c r="H63" s="14" t="s">
        <v>45</v>
      </c>
      <c r="I63" s="14" t="s">
        <v>45</v>
      </c>
      <c r="J63" s="14" t="s">
        <v>45</v>
      </c>
      <c r="K63" s="14" t="s">
        <v>45</v>
      </c>
      <c r="L63" s="61">
        <v>8</v>
      </c>
      <c r="M63" s="45" t="s">
        <v>340</v>
      </c>
      <c r="N63" s="55"/>
      <c r="O63" s="55"/>
      <c r="P63" s="55"/>
    </row>
    <row r="64" spans="1:16">
      <c r="A64" s="116"/>
      <c r="B64" s="11">
        <f t="shared" si="0"/>
        <v>63</v>
      </c>
      <c r="C64" s="11"/>
      <c r="D64" s="45" t="s">
        <v>341</v>
      </c>
      <c r="E64" s="13" t="s">
        <v>44</v>
      </c>
      <c r="F64" s="13" t="s">
        <v>45</v>
      </c>
      <c r="G64" s="13" t="s">
        <v>46</v>
      </c>
      <c r="H64" s="13" t="s">
        <v>45</v>
      </c>
      <c r="I64" s="13" t="s">
        <v>45</v>
      </c>
      <c r="J64" s="13" t="s">
        <v>45</v>
      </c>
      <c r="K64" s="13" t="s">
        <v>45</v>
      </c>
      <c r="L64" s="13">
        <v>8</v>
      </c>
      <c r="M64" s="45" t="s">
        <v>342</v>
      </c>
      <c r="N64" s="55"/>
      <c r="O64" s="55"/>
      <c r="P64" s="55"/>
    </row>
    <row r="65" spans="1:16">
      <c r="A65" s="116"/>
      <c r="B65" s="11">
        <f t="shared" si="0"/>
        <v>64</v>
      </c>
      <c r="C65" s="11"/>
      <c r="D65" s="45" t="s">
        <v>343</v>
      </c>
      <c r="E65" s="13" t="s">
        <v>44</v>
      </c>
      <c r="F65" s="13" t="s">
        <v>45</v>
      </c>
      <c r="G65" s="13" t="s">
        <v>46</v>
      </c>
      <c r="H65" s="13" t="s">
        <v>45</v>
      </c>
      <c r="I65" s="13" t="s">
        <v>45</v>
      </c>
      <c r="J65" s="13" t="s">
        <v>45</v>
      </c>
      <c r="K65" s="13" t="s">
        <v>45</v>
      </c>
      <c r="L65" s="13">
        <v>8</v>
      </c>
      <c r="M65" s="45" t="s">
        <v>344</v>
      </c>
      <c r="N65" s="55"/>
      <c r="O65" s="55"/>
      <c r="P65" s="55"/>
    </row>
    <row r="66" spans="1:16" ht="13.5" customHeight="1">
      <c r="A66" s="117" t="s">
        <v>345</v>
      </c>
      <c r="B66" s="6">
        <f t="shared" si="0"/>
        <v>65</v>
      </c>
      <c r="C66" s="15"/>
      <c r="D66" s="15" t="s">
        <v>346</v>
      </c>
      <c r="E66" s="25" t="s">
        <v>44</v>
      </c>
      <c r="F66" s="8" t="s">
        <v>45</v>
      </c>
      <c r="G66" s="25" t="s">
        <v>46</v>
      </c>
      <c r="H66" s="8" t="s">
        <v>45</v>
      </c>
      <c r="I66" s="8" t="s">
        <v>45</v>
      </c>
      <c r="J66" s="8" t="s">
        <v>45</v>
      </c>
      <c r="K66" s="8" t="s">
        <v>45</v>
      </c>
      <c r="L66" s="8">
        <v>16</v>
      </c>
      <c r="M66" s="15" t="s">
        <v>347</v>
      </c>
      <c r="N66" s="18"/>
      <c r="O66" s="18"/>
      <c r="P66" s="55"/>
    </row>
    <row r="67" spans="1:16">
      <c r="A67" s="118"/>
      <c r="B67" s="6">
        <f t="shared" si="0"/>
        <v>66</v>
      </c>
      <c r="C67" s="15"/>
      <c r="D67" s="15" t="s">
        <v>48</v>
      </c>
      <c r="E67" s="25" t="s">
        <v>44</v>
      </c>
      <c r="F67" s="8" t="s">
        <v>45</v>
      </c>
      <c r="G67" s="25" t="s">
        <v>46</v>
      </c>
      <c r="H67" s="8" t="s">
        <v>45</v>
      </c>
      <c r="I67" s="8" t="s">
        <v>45</v>
      </c>
      <c r="J67" s="8" t="s">
        <v>45</v>
      </c>
      <c r="K67" s="8" t="s">
        <v>45</v>
      </c>
      <c r="L67" s="8">
        <v>16</v>
      </c>
      <c r="M67" s="15" t="s">
        <v>348</v>
      </c>
      <c r="N67" s="18"/>
      <c r="O67" s="18"/>
      <c r="P67" s="55"/>
    </row>
    <row r="68" spans="1:16">
      <c r="A68" s="118"/>
      <c r="B68" s="6">
        <f t="shared" si="0"/>
        <v>67</v>
      </c>
      <c r="C68" s="6"/>
      <c r="D68" s="15" t="s">
        <v>349</v>
      </c>
      <c r="E68" s="25" t="s">
        <v>44</v>
      </c>
      <c r="F68" s="8" t="s">
        <v>45</v>
      </c>
      <c r="G68" s="25" t="s">
        <v>46</v>
      </c>
      <c r="H68" s="8" t="s">
        <v>45</v>
      </c>
      <c r="I68" s="8" t="s">
        <v>45</v>
      </c>
      <c r="J68" s="8" t="s">
        <v>45</v>
      </c>
      <c r="K68" s="8" t="s">
        <v>45</v>
      </c>
      <c r="L68" s="25">
        <v>8</v>
      </c>
      <c r="M68" s="15" t="s">
        <v>350</v>
      </c>
      <c r="N68" s="18"/>
      <c r="O68" s="18" t="s">
        <v>174</v>
      </c>
      <c r="P68" s="55"/>
    </row>
    <row r="69" spans="1:16">
      <c r="A69" s="118"/>
      <c r="B69" s="6">
        <f t="shared" ref="B69:B83" si="1">ROW(B68)</f>
        <v>68</v>
      </c>
      <c r="C69" s="6"/>
      <c r="D69" s="15" t="s">
        <v>351</v>
      </c>
      <c r="E69" s="25" t="s">
        <v>44</v>
      </c>
      <c r="F69" s="8" t="s">
        <v>45</v>
      </c>
      <c r="G69" s="25" t="s">
        <v>46</v>
      </c>
      <c r="H69" s="8" t="s">
        <v>45</v>
      </c>
      <c r="I69" s="8" t="s">
        <v>45</v>
      </c>
      <c r="J69" s="8" t="s">
        <v>45</v>
      </c>
      <c r="K69" s="8" t="s">
        <v>45</v>
      </c>
      <c r="L69" s="25">
        <v>8</v>
      </c>
      <c r="M69" s="15" t="s">
        <v>352</v>
      </c>
      <c r="N69" s="18"/>
      <c r="O69" s="18" t="s">
        <v>174</v>
      </c>
      <c r="P69" s="55"/>
    </row>
    <row r="70" spans="1:16" ht="36">
      <c r="A70" s="118"/>
      <c r="B70" s="6">
        <f t="shared" si="1"/>
        <v>69</v>
      </c>
      <c r="C70" s="6"/>
      <c r="D70" s="15" t="s">
        <v>353</v>
      </c>
      <c r="E70" s="25" t="s">
        <v>44</v>
      </c>
      <c r="F70" s="8" t="s">
        <v>45</v>
      </c>
      <c r="G70" s="25" t="s">
        <v>46</v>
      </c>
      <c r="H70" s="8" t="s">
        <v>45</v>
      </c>
      <c r="I70" s="8" t="s">
        <v>45</v>
      </c>
      <c r="J70" s="8" t="s">
        <v>45</v>
      </c>
      <c r="K70" s="8" t="s">
        <v>45</v>
      </c>
      <c r="L70" s="25">
        <v>2</v>
      </c>
      <c r="M70" s="15" t="s">
        <v>354</v>
      </c>
      <c r="N70" s="18"/>
      <c r="O70" s="18" t="s">
        <v>355</v>
      </c>
      <c r="P70" s="55"/>
    </row>
    <row r="71" spans="1:16" ht="84">
      <c r="A71" s="118"/>
      <c r="B71" s="6">
        <f t="shared" si="1"/>
        <v>70</v>
      </c>
      <c r="C71" s="6"/>
      <c r="D71" s="15" t="s">
        <v>356</v>
      </c>
      <c r="E71" s="25" t="s">
        <v>44</v>
      </c>
      <c r="F71" s="8" t="s">
        <v>45</v>
      </c>
      <c r="G71" s="25" t="s">
        <v>46</v>
      </c>
      <c r="H71" s="8" t="s">
        <v>45</v>
      </c>
      <c r="I71" s="8" t="s">
        <v>45</v>
      </c>
      <c r="J71" s="8" t="s">
        <v>45</v>
      </c>
      <c r="K71" s="8" t="s">
        <v>45</v>
      </c>
      <c r="L71" s="25">
        <v>6</v>
      </c>
      <c r="M71" s="15" t="s">
        <v>357</v>
      </c>
      <c r="N71" s="18"/>
      <c r="O71" s="18" t="s">
        <v>355</v>
      </c>
      <c r="P71" s="55"/>
    </row>
    <row r="72" spans="1:16" ht="27">
      <c r="A72" s="118"/>
      <c r="B72" s="6">
        <f t="shared" si="1"/>
        <v>71</v>
      </c>
      <c r="C72" s="6"/>
      <c r="D72" s="64" t="s">
        <v>358</v>
      </c>
      <c r="E72" s="25" t="s">
        <v>44</v>
      </c>
      <c r="F72" s="8" t="s">
        <v>45</v>
      </c>
      <c r="G72" s="65" t="s">
        <v>46</v>
      </c>
      <c r="H72" s="8" t="s">
        <v>45</v>
      </c>
      <c r="I72" s="8" t="s">
        <v>45</v>
      </c>
      <c r="J72" s="8" t="s">
        <v>45</v>
      </c>
      <c r="K72" s="8" t="s">
        <v>45</v>
      </c>
      <c r="L72" s="65">
        <v>8</v>
      </c>
      <c r="M72" s="66" t="s">
        <v>359</v>
      </c>
      <c r="N72" s="18"/>
      <c r="O72" s="18" t="s">
        <v>355</v>
      </c>
      <c r="P72" s="55"/>
    </row>
    <row r="73" spans="1:16" ht="27">
      <c r="A73" s="118"/>
      <c r="B73" s="6">
        <f t="shared" si="1"/>
        <v>72</v>
      </c>
      <c r="C73" s="6"/>
      <c r="D73" s="15" t="s">
        <v>360</v>
      </c>
      <c r="E73" s="25" t="s">
        <v>44</v>
      </c>
      <c r="F73" s="8" t="s">
        <v>45</v>
      </c>
      <c r="G73" s="65" t="s">
        <v>46</v>
      </c>
      <c r="H73" s="8" t="s">
        <v>45</v>
      </c>
      <c r="I73" s="8" t="s">
        <v>45</v>
      </c>
      <c r="J73" s="8" t="s">
        <v>45</v>
      </c>
      <c r="K73" s="8" t="s">
        <v>45</v>
      </c>
      <c r="L73" s="65">
        <v>4</v>
      </c>
      <c r="M73" s="66" t="s">
        <v>361</v>
      </c>
      <c r="N73" s="18"/>
      <c r="O73" s="18" t="s">
        <v>355</v>
      </c>
      <c r="P73" s="55"/>
    </row>
    <row r="74" spans="1:16" ht="27">
      <c r="A74" s="118"/>
      <c r="B74" s="6">
        <f t="shared" si="1"/>
        <v>73</v>
      </c>
      <c r="C74" s="6"/>
      <c r="D74" s="15" t="s">
        <v>362</v>
      </c>
      <c r="E74" s="25" t="s">
        <v>44</v>
      </c>
      <c r="F74" s="8" t="s">
        <v>45</v>
      </c>
      <c r="G74" s="65" t="s">
        <v>46</v>
      </c>
      <c r="H74" s="8" t="s">
        <v>45</v>
      </c>
      <c r="I74" s="8" t="s">
        <v>45</v>
      </c>
      <c r="J74" s="8" t="s">
        <v>45</v>
      </c>
      <c r="K74" s="8" t="s">
        <v>45</v>
      </c>
      <c r="L74" s="65">
        <v>4</v>
      </c>
      <c r="M74" s="66" t="s">
        <v>363</v>
      </c>
      <c r="N74" s="18"/>
      <c r="O74" s="18" t="s">
        <v>355</v>
      </c>
      <c r="P74" s="55"/>
    </row>
    <row r="75" spans="1:16">
      <c r="A75" s="118"/>
      <c r="B75" s="6">
        <f t="shared" si="1"/>
        <v>74</v>
      </c>
      <c r="C75" s="6"/>
      <c r="D75" s="15" t="s">
        <v>364</v>
      </c>
      <c r="E75" s="25" t="s">
        <v>44</v>
      </c>
      <c r="F75" s="8" t="s">
        <v>45</v>
      </c>
      <c r="G75" s="65" t="s">
        <v>46</v>
      </c>
      <c r="H75" s="8" t="s">
        <v>45</v>
      </c>
      <c r="I75" s="8" t="s">
        <v>45</v>
      </c>
      <c r="J75" s="8" t="s">
        <v>45</v>
      </c>
      <c r="K75" s="8" t="s">
        <v>45</v>
      </c>
      <c r="L75" s="65">
        <v>4</v>
      </c>
      <c r="M75" s="66" t="s">
        <v>365</v>
      </c>
      <c r="N75" s="18"/>
      <c r="O75" s="18" t="s">
        <v>355</v>
      </c>
      <c r="P75" s="55"/>
    </row>
    <row r="76" spans="1:16">
      <c r="A76" s="118"/>
      <c r="B76" s="6">
        <f t="shared" si="1"/>
        <v>75</v>
      </c>
      <c r="C76" s="6"/>
      <c r="D76" s="15" t="s">
        <v>366</v>
      </c>
      <c r="E76" s="25" t="s">
        <v>44</v>
      </c>
      <c r="F76" s="8" t="s">
        <v>45</v>
      </c>
      <c r="G76" s="65" t="s">
        <v>46</v>
      </c>
      <c r="H76" s="8" t="s">
        <v>45</v>
      </c>
      <c r="I76" s="8" t="s">
        <v>45</v>
      </c>
      <c r="J76" s="8" t="s">
        <v>45</v>
      </c>
      <c r="K76" s="8" t="s">
        <v>45</v>
      </c>
      <c r="L76" s="65">
        <v>4</v>
      </c>
      <c r="M76" s="66" t="s">
        <v>367</v>
      </c>
      <c r="N76" s="18"/>
      <c r="O76" s="18" t="s">
        <v>355</v>
      </c>
      <c r="P76" s="55"/>
    </row>
    <row r="77" spans="1:16">
      <c r="A77" s="118"/>
      <c r="B77" s="6">
        <f t="shared" si="1"/>
        <v>76</v>
      </c>
      <c r="C77" s="6"/>
      <c r="D77" s="15" t="s">
        <v>368</v>
      </c>
      <c r="E77" s="25" t="s">
        <v>44</v>
      </c>
      <c r="F77" s="8" t="s">
        <v>45</v>
      </c>
      <c r="G77" s="65" t="s">
        <v>46</v>
      </c>
      <c r="H77" s="8" t="s">
        <v>45</v>
      </c>
      <c r="I77" s="8" t="s">
        <v>45</v>
      </c>
      <c r="J77" s="8" t="s">
        <v>45</v>
      </c>
      <c r="K77" s="8" t="s">
        <v>45</v>
      </c>
      <c r="L77" s="65">
        <v>4</v>
      </c>
      <c r="M77" s="66" t="s">
        <v>369</v>
      </c>
      <c r="N77" s="18"/>
      <c r="O77" s="18" t="s">
        <v>355</v>
      </c>
      <c r="P77" s="55"/>
    </row>
    <row r="78" spans="1:16">
      <c r="A78" s="118"/>
      <c r="B78" s="6">
        <f t="shared" si="1"/>
        <v>77</v>
      </c>
      <c r="C78" s="6"/>
      <c r="D78" s="15" t="s">
        <v>370</v>
      </c>
      <c r="E78" s="25" t="s">
        <v>44</v>
      </c>
      <c r="F78" s="8" t="s">
        <v>45</v>
      </c>
      <c r="G78" s="65" t="s">
        <v>46</v>
      </c>
      <c r="H78" s="8" t="s">
        <v>45</v>
      </c>
      <c r="I78" s="8" t="s">
        <v>45</v>
      </c>
      <c r="J78" s="8" t="s">
        <v>45</v>
      </c>
      <c r="K78" s="8" t="s">
        <v>45</v>
      </c>
      <c r="L78" s="65">
        <v>4</v>
      </c>
      <c r="M78" s="66" t="s">
        <v>371</v>
      </c>
      <c r="N78" s="18"/>
      <c r="O78" s="18" t="s">
        <v>355</v>
      </c>
      <c r="P78" s="55"/>
    </row>
    <row r="79" spans="1:16">
      <c r="A79" s="118"/>
      <c r="B79" s="6">
        <f t="shared" si="1"/>
        <v>78</v>
      </c>
      <c r="C79" s="6"/>
      <c r="D79" s="15" t="s">
        <v>372</v>
      </c>
      <c r="E79" s="25" t="s">
        <v>44</v>
      </c>
      <c r="F79" s="8" t="s">
        <v>45</v>
      </c>
      <c r="G79" s="65" t="s">
        <v>46</v>
      </c>
      <c r="H79" s="8" t="s">
        <v>45</v>
      </c>
      <c r="I79" s="8" t="s">
        <v>45</v>
      </c>
      <c r="J79" s="8" t="s">
        <v>45</v>
      </c>
      <c r="K79" s="8" t="s">
        <v>45</v>
      </c>
      <c r="L79" s="65">
        <v>4</v>
      </c>
      <c r="M79" s="66" t="s">
        <v>373</v>
      </c>
      <c r="N79" s="18"/>
      <c r="O79" s="18" t="s">
        <v>355</v>
      </c>
      <c r="P79" s="55"/>
    </row>
    <row r="80" spans="1:16">
      <c r="A80" s="118"/>
      <c r="B80" s="6">
        <f t="shared" si="1"/>
        <v>79</v>
      </c>
      <c r="C80" s="6"/>
      <c r="D80" s="15" t="s">
        <v>374</v>
      </c>
      <c r="E80" s="25" t="s">
        <v>44</v>
      </c>
      <c r="F80" s="8" t="s">
        <v>45</v>
      </c>
      <c r="G80" s="65" t="s">
        <v>46</v>
      </c>
      <c r="H80" s="8" t="s">
        <v>45</v>
      </c>
      <c r="I80" s="8" t="s">
        <v>45</v>
      </c>
      <c r="J80" s="8" t="s">
        <v>45</v>
      </c>
      <c r="K80" s="8" t="s">
        <v>45</v>
      </c>
      <c r="L80" s="65">
        <v>4</v>
      </c>
      <c r="M80" s="66" t="s">
        <v>375</v>
      </c>
      <c r="N80" s="18"/>
      <c r="O80" s="18" t="s">
        <v>355</v>
      </c>
      <c r="P80" s="55"/>
    </row>
    <row r="81" spans="1:16" ht="27">
      <c r="A81" s="118"/>
      <c r="B81" s="6">
        <f t="shared" si="1"/>
        <v>80</v>
      </c>
      <c r="C81" s="6"/>
      <c r="D81" s="15" t="s">
        <v>376</v>
      </c>
      <c r="E81" s="25" t="s">
        <v>44</v>
      </c>
      <c r="F81" s="8" t="s">
        <v>45</v>
      </c>
      <c r="G81" s="65" t="s">
        <v>46</v>
      </c>
      <c r="H81" s="8" t="s">
        <v>45</v>
      </c>
      <c r="I81" s="8" t="s">
        <v>45</v>
      </c>
      <c r="J81" s="8" t="s">
        <v>45</v>
      </c>
      <c r="K81" s="8" t="s">
        <v>45</v>
      </c>
      <c r="L81" s="65">
        <v>8</v>
      </c>
      <c r="M81" s="66" t="s">
        <v>377</v>
      </c>
      <c r="N81" s="18"/>
      <c r="O81" s="18" t="s">
        <v>355</v>
      </c>
      <c r="P81" s="55"/>
    </row>
    <row r="82" spans="1:16" ht="27">
      <c r="A82" s="118"/>
      <c r="B82" s="6">
        <f t="shared" si="1"/>
        <v>81</v>
      </c>
      <c r="C82" s="6"/>
      <c r="D82" s="15" t="s">
        <v>378</v>
      </c>
      <c r="E82" s="25" t="s">
        <v>44</v>
      </c>
      <c r="F82" s="8" t="s">
        <v>45</v>
      </c>
      <c r="G82" s="65" t="s">
        <v>46</v>
      </c>
      <c r="H82" s="8" t="s">
        <v>45</v>
      </c>
      <c r="I82" s="8" t="s">
        <v>45</v>
      </c>
      <c r="J82" s="8" t="s">
        <v>45</v>
      </c>
      <c r="K82" s="8" t="s">
        <v>45</v>
      </c>
      <c r="L82" s="65">
        <v>8</v>
      </c>
      <c r="M82" s="66" t="s">
        <v>379</v>
      </c>
      <c r="N82" s="18"/>
      <c r="O82" s="18" t="s">
        <v>355</v>
      </c>
      <c r="P82" s="55"/>
    </row>
    <row r="83" spans="1:16">
      <c r="A83" s="118"/>
      <c r="B83" s="6">
        <f t="shared" si="1"/>
        <v>82</v>
      </c>
      <c r="C83" s="6"/>
      <c r="D83" s="15" t="s">
        <v>380</v>
      </c>
      <c r="E83" s="25" t="s">
        <v>44</v>
      </c>
      <c r="F83" s="8" t="s">
        <v>45</v>
      </c>
      <c r="G83" s="65" t="s">
        <v>46</v>
      </c>
      <c r="H83" s="8" t="s">
        <v>45</v>
      </c>
      <c r="I83" s="8" t="s">
        <v>45</v>
      </c>
      <c r="J83" s="8" t="s">
        <v>45</v>
      </c>
      <c r="K83" s="8" t="s">
        <v>45</v>
      </c>
      <c r="L83" s="65">
        <v>8</v>
      </c>
      <c r="M83" s="67" t="s">
        <v>381</v>
      </c>
      <c r="N83" s="18"/>
      <c r="O83" s="18" t="s">
        <v>183</v>
      </c>
      <c r="P83" s="55"/>
    </row>
    <row r="84" spans="1:16">
      <c r="A84" s="118"/>
      <c r="B84" s="6">
        <f t="shared" ref="B84:B89" si="2">ROW(B83)</f>
        <v>83</v>
      </c>
      <c r="C84" s="6"/>
      <c r="D84" s="15" t="s">
        <v>382</v>
      </c>
      <c r="E84" s="25" t="s">
        <v>44</v>
      </c>
      <c r="F84" s="15" t="s">
        <v>45</v>
      </c>
      <c r="G84" s="8" t="s">
        <v>46</v>
      </c>
      <c r="H84" s="25" t="s">
        <v>45</v>
      </c>
      <c r="I84" s="25" t="s">
        <v>45</v>
      </c>
      <c r="J84" s="25">
        <v>0</v>
      </c>
      <c r="K84" s="25" t="s">
        <v>45</v>
      </c>
      <c r="L84" s="25">
        <v>8</v>
      </c>
      <c r="M84" s="23" t="s">
        <v>383</v>
      </c>
      <c r="N84" s="18"/>
      <c r="O84" s="18" t="s">
        <v>397</v>
      </c>
      <c r="P84" s="55"/>
    </row>
    <row r="85" spans="1:16">
      <c r="A85" s="118"/>
      <c r="B85" s="6">
        <f t="shared" si="2"/>
        <v>84</v>
      </c>
      <c r="C85" s="6"/>
      <c r="D85" s="15" t="s">
        <v>385</v>
      </c>
      <c r="E85" s="25" t="s">
        <v>44</v>
      </c>
      <c r="F85" s="8" t="s">
        <v>45</v>
      </c>
      <c r="G85" s="8" t="s">
        <v>46</v>
      </c>
      <c r="H85" s="8" t="s">
        <v>45</v>
      </c>
      <c r="I85" s="8" t="s">
        <v>45</v>
      </c>
      <c r="J85" s="8" t="s">
        <v>45</v>
      </c>
      <c r="K85" s="8" t="s">
        <v>45</v>
      </c>
      <c r="L85" s="8">
        <v>32</v>
      </c>
      <c r="M85" s="15" t="s">
        <v>386</v>
      </c>
      <c r="N85" s="18"/>
      <c r="O85" s="18" t="s">
        <v>387</v>
      </c>
      <c r="P85" s="55"/>
    </row>
    <row r="86" spans="1:16">
      <c r="A86" s="118"/>
      <c r="B86" s="6">
        <f t="shared" si="2"/>
        <v>85</v>
      </c>
      <c r="C86" s="6"/>
      <c r="D86" s="15" t="s">
        <v>388</v>
      </c>
      <c r="E86" s="25" t="s">
        <v>44</v>
      </c>
      <c r="F86" s="8" t="s">
        <v>45</v>
      </c>
      <c r="G86" s="8" t="s">
        <v>46</v>
      </c>
      <c r="H86" s="8" t="s">
        <v>45</v>
      </c>
      <c r="I86" s="8" t="s">
        <v>45</v>
      </c>
      <c r="J86" s="8" t="s">
        <v>45</v>
      </c>
      <c r="K86" s="8" t="s">
        <v>45</v>
      </c>
      <c r="L86" s="8">
        <v>32</v>
      </c>
      <c r="M86" s="15" t="s">
        <v>389</v>
      </c>
      <c r="N86" s="18"/>
      <c r="O86" s="18" t="s">
        <v>387</v>
      </c>
      <c r="P86" s="55"/>
    </row>
    <row r="87" spans="1:16">
      <c r="A87" s="118"/>
      <c r="B87" s="6">
        <f t="shared" si="2"/>
        <v>86</v>
      </c>
      <c r="C87" s="6"/>
      <c r="D87" s="15" t="s">
        <v>390</v>
      </c>
      <c r="E87" s="25" t="s">
        <v>44</v>
      </c>
      <c r="F87" s="8" t="s">
        <v>45</v>
      </c>
      <c r="G87" s="8" t="s">
        <v>46</v>
      </c>
      <c r="H87" s="8" t="s">
        <v>45</v>
      </c>
      <c r="I87" s="8" t="s">
        <v>45</v>
      </c>
      <c r="J87" s="8" t="s">
        <v>45</v>
      </c>
      <c r="K87" s="8" t="s">
        <v>45</v>
      </c>
      <c r="L87" s="8">
        <v>32</v>
      </c>
      <c r="M87" s="15" t="s">
        <v>391</v>
      </c>
      <c r="N87" s="18"/>
      <c r="O87" s="18" t="s">
        <v>387</v>
      </c>
      <c r="P87" s="55"/>
    </row>
    <row r="88" spans="1:16">
      <c r="A88" s="118"/>
      <c r="B88" s="6">
        <f t="shared" si="2"/>
        <v>87</v>
      </c>
      <c r="C88" s="6"/>
      <c r="D88" s="15" t="s">
        <v>392</v>
      </c>
      <c r="E88" s="25" t="s">
        <v>44</v>
      </c>
      <c r="F88" s="8" t="s">
        <v>45</v>
      </c>
      <c r="G88" s="8" t="s">
        <v>46</v>
      </c>
      <c r="H88" s="8" t="s">
        <v>45</v>
      </c>
      <c r="I88" s="8" t="s">
        <v>45</v>
      </c>
      <c r="J88" s="8" t="s">
        <v>45</v>
      </c>
      <c r="K88" s="8" t="s">
        <v>45</v>
      </c>
      <c r="L88" s="8">
        <v>16</v>
      </c>
      <c r="M88" s="15" t="s">
        <v>393</v>
      </c>
      <c r="N88" s="18"/>
      <c r="O88" s="18" t="s">
        <v>394</v>
      </c>
      <c r="P88" s="55"/>
    </row>
    <row r="89" spans="1:16">
      <c r="A89" s="118"/>
      <c r="B89" s="6">
        <f t="shared" si="2"/>
        <v>88</v>
      </c>
      <c r="C89" s="6"/>
      <c r="D89" s="15" t="s">
        <v>395</v>
      </c>
      <c r="E89" s="25" t="s">
        <v>44</v>
      </c>
      <c r="F89" s="8" t="s">
        <v>45</v>
      </c>
      <c r="G89" s="8" t="s">
        <v>46</v>
      </c>
      <c r="H89" s="8" t="s">
        <v>45</v>
      </c>
      <c r="I89" s="8" t="s">
        <v>45</v>
      </c>
      <c r="J89" s="8" t="s">
        <v>45</v>
      </c>
      <c r="K89" s="8" t="s">
        <v>45</v>
      </c>
      <c r="L89" s="8">
        <v>16</v>
      </c>
      <c r="M89" s="15" t="s">
        <v>396</v>
      </c>
      <c r="N89" s="18"/>
      <c r="O89" s="18" t="s">
        <v>394</v>
      </c>
      <c r="P89" s="55"/>
    </row>
    <row r="90" spans="1:16">
      <c r="A90" s="112" t="s">
        <v>186</v>
      </c>
      <c r="B90" s="39">
        <v>98</v>
      </c>
      <c r="C90" s="39"/>
      <c r="D90" s="39" t="s">
        <v>398</v>
      </c>
      <c r="E90" s="42" t="s">
        <v>44</v>
      </c>
      <c r="F90" s="42" t="s">
        <v>45</v>
      </c>
      <c r="G90" s="42" t="s">
        <v>46</v>
      </c>
      <c r="H90" s="42" t="s">
        <v>45</v>
      </c>
      <c r="I90" s="42" t="s">
        <v>45</v>
      </c>
      <c r="J90" s="42" t="s">
        <v>45</v>
      </c>
      <c r="K90" s="42" t="s">
        <v>45</v>
      </c>
      <c r="L90" s="42">
        <v>96</v>
      </c>
      <c r="M90" s="39" t="s">
        <v>399</v>
      </c>
      <c r="N90" s="18"/>
      <c r="O90" s="18"/>
      <c r="P90" s="55"/>
    </row>
    <row r="91" spans="1:16">
      <c r="A91" s="113"/>
      <c r="B91" s="39">
        <v>99</v>
      </c>
      <c r="C91" s="39"/>
      <c r="D91" s="39" t="s">
        <v>400</v>
      </c>
      <c r="E91" s="42" t="s">
        <v>44</v>
      </c>
      <c r="F91" s="42" t="s">
        <v>45</v>
      </c>
      <c r="G91" s="42" t="s">
        <v>46</v>
      </c>
      <c r="H91" s="42" t="s">
        <v>45</v>
      </c>
      <c r="I91" s="42" t="s">
        <v>45</v>
      </c>
      <c r="J91" s="42" t="s">
        <v>45</v>
      </c>
      <c r="K91" s="42" t="s">
        <v>45</v>
      </c>
      <c r="L91" s="42">
        <v>16</v>
      </c>
      <c r="M91" s="39" t="s">
        <v>401</v>
      </c>
      <c r="N91" s="18"/>
      <c r="O91" s="18"/>
      <c r="P91" s="55"/>
    </row>
    <row r="92" spans="1:16">
      <c r="A92" s="113"/>
      <c r="B92" s="39">
        <v>100</v>
      </c>
      <c r="C92" s="39"/>
      <c r="D92" s="39" t="s">
        <v>48</v>
      </c>
      <c r="E92" s="42" t="s">
        <v>44</v>
      </c>
      <c r="F92" s="42" t="s">
        <v>45</v>
      </c>
      <c r="G92" s="42" t="s">
        <v>46</v>
      </c>
      <c r="H92" s="42" t="s">
        <v>45</v>
      </c>
      <c r="I92" s="42" t="s">
        <v>45</v>
      </c>
      <c r="J92" s="42" t="s">
        <v>45</v>
      </c>
      <c r="K92" s="42" t="s">
        <v>45</v>
      </c>
      <c r="L92" s="42">
        <v>16</v>
      </c>
      <c r="M92" s="39" t="s">
        <v>402</v>
      </c>
      <c r="N92" s="18"/>
      <c r="O92" s="18"/>
      <c r="P92" s="55"/>
    </row>
    <row r="93" spans="1:16" ht="27">
      <c r="A93" s="113"/>
      <c r="B93" s="39">
        <v>101</v>
      </c>
      <c r="C93" s="39"/>
      <c r="D93" s="39" t="s">
        <v>403</v>
      </c>
      <c r="E93" s="42" t="s">
        <v>44</v>
      </c>
      <c r="F93" s="42" t="s">
        <v>45</v>
      </c>
      <c r="G93" s="42" t="s">
        <v>46</v>
      </c>
      <c r="H93" s="42" t="s">
        <v>45</v>
      </c>
      <c r="I93" s="42" t="s">
        <v>45</v>
      </c>
      <c r="J93" s="42" t="s">
        <v>45</v>
      </c>
      <c r="K93" s="42" t="s">
        <v>45</v>
      </c>
      <c r="L93" s="42">
        <v>2</v>
      </c>
      <c r="M93" s="68" t="s">
        <v>404</v>
      </c>
      <c r="N93" s="18"/>
      <c r="O93" s="18"/>
      <c r="P93" s="55"/>
    </row>
    <row r="94" spans="1:16" ht="27">
      <c r="A94" s="113"/>
      <c r="B94" s="39">
        <v>102</v>
      </c>
      <c r="C94" s="39"/>
      <c r="D94" s="39" t="s">
        <v>405</v>
      </c>
      <c r="E94" s="42" t="s">
        <v>44</v>
      </c>
      <c r="F94" s="42" t="s">
        <v>45</v>
      </c>
      <c r="G94" s="42" t="s">
        <v>46</v>
      </c>
      <c r="H94" s="42" t="s">
        <v>45</v>
      </c>
      <c r="I94" s="42" t="s">
        <v>45</v>
      </c>
      <c r="J94" s="42" t="s">
        <v>45</v>
      </c>
      <c r="K94" s="42" t="s">
        <v>45</v>
      </c>
      <c r="L94" s="42">
        <v>2</v>
      </c>
      <c r="M94" s="68" t="s">
        <v>406</v>
      </c>
      <c r="N94" s="18"/>
      <c r="O94" s="18"/>
      <c r="P94" s="55"/>
    </row>
    <row r="95" spans="1:16" ht="27">
      <c r="A95" s="113"/>
      <c r="B95" s="39">
        <v>103</v>
      </c>
      <c r="C95" s="39"/>
      <c r="D95" s="39" t="s">
        <v>407</v>
      </c>
      <c r="E95" s="42" t="s">
        <v>44</v>
      </c>
      <c r="F95" s="42" t="s">
        <v>45</v>
      </c>
      <c r="G95" s="42" t="s">
        <v>46</v>
      </c>
      <c r="H95" s="42" t="s">
        <v>45</v>
      </c>
      <c r="I95" s="42" t="s">
        <v>45</v>
      </c>
      <c r="J95" s="42" t="s">
        <v>45</v>
      </c>
      <c r="K95" s="42" t="s">
        <v>45</v>
      </c>
      <c r="L95" s="42">
        <v>2</v>
      </c>
      <c r="M95" s="68" t="s">
        <v>408</v>
      </c>
      <c r="N95" s="18"/>
      <c r="O95" s="18"/>
      <c r="P95" s="55"/>
    </row>
    <row r="96" spans="1:16" ht="27">
      <c r="A96" s="113"/>
      <c r="B96" s="39">
        <v>104</v>
      </c>
      <c r="C96" s="39"/>
      <c r="D96" s="39" t="s">
        <v>409</v>
      </c>
      <c r="E96" s="42" t="s">
        <v>44</v>
      </c>
      <c r="F96" s="42" t="s">
        <v>45</v>
      </c>
      <c r="G96" s="42" t="s">
        <v>46</v>
      </c>
      <c r="H96" s="42" t="s">
        <v>45</v>
      </c>
      <c r="I96" s="42" t="s">
        <v>45</v>
      </c>
      <c r="J96" s="42" t="s">
        <v>45</v>
      </c>
      <c r="K96" s="42" t="s">
        <v>45</v>
      </c>
      <c r="L96" s="42">
        <v>2</v>
      </c>
      <c r="M96" s="68" t="s">
        <v>410</v>
      </c>
      <c r="N96" s="18"/>
      <c r="O96" s="18"/>
      <c r="P96" s="55"/>
    </row>
    <row r="97" spans="1:16" ht="27">
      <c r="A97" s="113"/>
      <c r="B97" s="39">
        <v>105</v>
      </c>
      <c r="C97" s="39"/>
      <c r="D97" s="39" t="s">
        <v>411</v>
      </c>
      <c r="E97" s="42" t="s">
        <v>44</v>
      </c>
      <c r="F97" s="42" t="s">
        <v>45</v>
      </c>
      <c r="G97" s="42" t="s">
        <v>46</v>
      </c>
      <c r="H97" s="42" t="s">
        <v>45</v>
      </c>
      <c r="I97" s="42" t="s">
        <v>45</v>
      </c>
      <c r="J97" s="42" t="s">
        <v>45</v>
      </c>
      <c r="K97" s="42" t="s">
        <v>45</v>
      </c>
      <c r="L97" s="42">
        <v>2</v>
      </c>
      <c r="M97" s="68" t="s">
        <v>412</v>
      </c>
      <c r="N97" s="18"/>
      <c r="O97" s="18"/>
      <c r="P97" s="55"/>
    </row>
    <row r="98" spans="1:16" ht="27">
      <c r="A98" s="113"/>
      <c r="B98" s="39">
        <v>106</v>
      </c>
      <c r="C98" s="39"/>
      <c r="D98" s="39" t="s">
        <v>413</v>
      </c>
      <c r="E98" s="42" t="s">
        <v>44</v>
      </c>
      <c r="F98" s="42" t="s">
        <v>45</v>
      </c>
      <c r="G98" s="42" t="s">
        <v>46</v>
      </c>
      <c r="H98" s="42" t="s">
        <v>45</v>
      </c>
      <c r="I98" s="42" t="s">
        <v>45</v>
      </c>
      <c r="J98" s="42" t="s">
        <v>45</v>
      </c>
      <c r="K98" s="42" t="s">
        <v>45</v>
      </c>
      <c r="L98" s="42">
        <v>2</v>
      </c>
      <c r="M98" s="68" t="s">
        <v>414</v>
      </c>
      <c r="N98" s="18"/>
      <c r="O98" s="18"/>
      <c r="P98" s="55"/>
    </row>
    <row r="99" spans="1:16" ht="27">
      <c r="A99" s="113"/>
      <c r="B99" s="39">
        <v>107</v>
      </c>
      <c r="C99" s="39"/>
      <c r="D99" s="39" t="s">
        <v>415</v>
      </c>
      <c r="E99" s="42" t="s">
        <v>44</v>
      </c>
      <c r="F99" s="42" t="s">
        <v>45</v>
      </c>
      <c r="G99" s="42" t="s">
        <v>46</v>
      </c>
      <c r="H99" s="42" t="s">
        <v>45</v>
      </c>
      <c r="I99" s="42" t="s">
        <v>45</v>
      </c>
      <c r="J99" s="42" t="s">
        <v>45</v>
      </c>
      <c r="K99" s="42" t="s">
        <v>45</v>
      </c>
      <c r="L99" s="42">
        <v>2</v>
      </c>
      <c r="M99" s="68" t="s">
        <v>416</v>
      </c>
      <c r="N99" s="18"/>
      <c r="O99" s="18"/>
      <c r="P99" s="55"/>
    </row>
    <row r="100" spans="1:16" ht="27">
      <c r="A100" s="113"/>
      <c r="B100" s="39">
        <v>108</v>
      </c>
      <c r="C100" s="39"/>
      <c r="D100" s="39" t="s">
        <v>417</v>
      </c>
      <c r="E100" s="42" t="s">
        <v>44</v>
      </c>
      <c r="F100" s="42" t="s">
        <v>45</v>
      </c>
      <c r="G100" s="42" t="s">
        <v>46</v>
      </c>
      <c r="H100" s="42" t="s">
        <v>45</v>
      </c>
      <c r="I100" s="42" t="s">
        <v>45</v>
      </c>
      <c r="J100" s="42" t="s">
        <v>45</v>
      </c>
      <c r="K100" s="42" t="s">
        <v>45</v>
      </c>
      <c r="L100" s="42">
        <v>2</v>
      </c>
      <c r="M100" s="68" t="s">
        <v>418</v>
      </c>
      <c r="N100" s="18"/>
      <c r="O100" s="18"/>
      <c r="P100" s="55"/>
    </row>
    <row r="101" spans="1:16" ht="27">
      <c r="A101" s="113"/>
      <c r="B101" s="39">
        <v>109</v>
      </c>
      <c r="C101" s="39"/>
      <c r="D101" s="39" t="s">
        <v>419</v>
      </c>
      <c r="E101" s="42" t="s">
        <v>44</v>
      </c>
      <c r="F101" s="42" t="s">
        <v>45</v>
      </c>
      <c r="G101" s="42" t="s">
        <v>46</v>
      </c>
      <c r="H101" s="42" t="s">
        <v>45</v>
      </c>
      <c r="I101" s="42" t="s">
        <v>45</v>
      </c>
      <c r="J101" s="42" t="s">
        <v>45</v>
      </c>
      <c r="K101" s="42" t="s">
        <v>45</v>
      </c>
      <c r="L101" s="42">
        <v>2</v>
      </c>
      <c r="M101" s="68" t="s">
        <v>420</v>
      </c>
      <c r="N101" s="18"/>
      <c r="O101" s="18"/>
      <c r="P101" s="55"/>
    </row>
    <row r="102" spans="1:16" ht="27">
      <c r="A102" s="113"/>
      <c r="B102" s="39">
        <v>110</v>
      </c>
      <c r="C102" s="39"/>
      <c r="D102" s="39" t="s">
        <v>421</v>
      </c>
      <c r="E102" s="42" t="s">
        <v>44</v>
      </c>
      <c r="F102" s="42" t="s">
        <v>45</v>
      </c>
      <c r="G102" s="42" t="s">
        <v>46</v>
      </c>
      <c r="H102" s="42" t="s">
        <v>45</v>
      </c>
      <c r="I102" s="42" t="s">
        <v>45</v>
      </c>
      <c r="J102" s="42" t="s">
        <v>45</v>
      </c>
      <c r="K102" s="42" t="s">
        <v>45</v>
      </c>
      <c r="L102" s="42">
        <v>2</v>
      </c>
      <c r="M102" s="68" t="s">
        <v>422</v>
      </c>
      <c r="N102" s="18"/>
      <c r="O102" s="18"/>
      <c r="P102" s="55"/>
    </row>
    <row r="103" spans="1:16" ht="27">
      <c r="A103" s="113"/>
      <c r="B103" s="39">
        <v>111</v>
      </c>
      <c r="C103" s="39"/>
      <c r="D103" s="39" t="s">
        <v>423</v>
      </c>
      <c r="E103" s="42" t="s">
        <v>44</v>
      </c>
      <c r="F103" s="42" t="s">
        <v>45</v>
      </c>
      <c r="G103" s="42" t="s">
        <v>46</v>
      </c>
      <c r="H103" s="42" t="s">
        <v>45</v>
      </c>
      <c r="I103" s="42" t="s">
        <v>45</v>
      </c>
      <c r="J103" s="42" t="s">
        <v>45</v>
      </c>
      <c r="K103" s="42" t="s">
        <v>45</v>
      </c>
      <c r="L103" s="42">
        <v>2</v>
      </c>
      <c r="M103" s="68" t="s">
        <v>424</v>
      </c>
      <c r="N103" s="18"/>
      <c r="O103" s="18"/>
      <c r="P103" s="55"/>
    </row>
    <row r="104" spans="1:16" ht="27">
      <c r="A104" s="113"/>
      <c r="B104" s="39">
        <v>112</v>
      </c>
      <c r="C104" s="39"/>
      <c r="D104" s="39" t="s">
        <v>425</v>
      </c>
      <c r="E104" s="42" t="s">
        <v>44</v>
      </c>
      <c r="F104" s="42" t="s">
        <v>45</v>
      </c>
      <c r="G104" s="42" t="s">
        <v>46</v>
      </c>
      <c r="H104" s="42" t="s">
        <v>45</v>
      </c>
      <c r="I104" s="42" t="s">
        <v>45</v>
      </c>
      <c r="J104" s="42" t="s">
        <v>45</v>
      </c>
      <c r="K104" s="42" t="s">
        <v>45</v>
      </c>
      <c r="L104" s="42">
        <v>2</v>
      </c>
      <c r="M104" s="68" t="s">
        <v>426</v>
      </c>
      <c r="N104" s="18"/>
      <c r="O104" s="18"/>
      <c r="P104" s="55"/>
    </row>
    <row r="105" spans="1:16" ht="27">
      <c r="A105" s="113"/>
      <c r="B105" s="39">
        <v>113</v>
      </c>
      <c r="C105" s="39"/>
      <c r="D105" s="39" t="s">
        <v>427</v>
      </c>
      <c r="E105" s="42" t="s">
        <v>44</v>
      </c>
      <c r="F105" s="42" t="s">
        <v>45</v>
      </c>
      <c r="G105" s="42" t="s">
        <v>46</v>
      </c>
      <c r="H105" s="42" t="s">
        <v>45</v>
      </c>
      <c r="I105" s="42" t="s">
        <v>45</v>
      </c>
      <c r="J105" s="42" t="s">
        <v>45</v>
      </c>
      <c r="K105" s="42" t="s">
        <v>45</v>
      </c>
      <c r="L105" s="42">
        <v>2</v>
      </c>
      <c r="M105" s="68" t="s">
        <v>428</v>
      </c>
      <c r="N105" s="18"/>
      <c r="O105" s="18"/>
      <c r="P105" s="55"/>
    </row>
    <row r="106" spans="1:16" ht="27">
      <c r="A106" s="113"/>
      <c r="B106" s="39">
        <v>114</v>
      </c>
      <c r="C106" s="39"/>
      <c r="D106" s="39" t="s">
        <v>429</v>
      </c>
      <c r="E106" s="42" t="s">
        <v>44</v>
      </c>
      <c r="F106" s="42" t="s">
        <v>45</v>
      </c>
      <c r="G106" s="42" t="s">
        <v>46</v>
      </c>
      <c r="H106" s="42" t="s">
        <v>45</v>
      </c>
      <c r="I106" s="42" t="s">
        <v>45</v>
      </c>
      <c r="J106" s="42" t="s">
        <v>45</v>
      </c>
      <c r="K106" s="42" t="s">
        <v>45</v>
      </c>
      <c r="L106" s="42">
        <v>2</v>
      </c>
      <c r="M106" s="68" t="s">
        <v>430</v>
      </c>
      <c r="N106" s="18"/>
      <c r="O106" s="18"/>
      <c r="P106" s="55"/>
    </row>
    <row r="107" spans="1:16" ht="27">
      <c r="A107" s="113"/>
      <c r="B107" s="39">
        <v>115</v>
      </c>
      <c r="C107" s="39"/>
      <c r="D107" s="39" t="s">
        <v>431</v>
      </c>
      <c r="E107" s="42" t="s">
        <v>44</v>
      </c>
      <c r="F107" s="42" t="s">
        <v>45</v>
      </c>
      <c r="G107" s="42" t="s">
        <v>46</v>
      </c>
      <c r="H107" s="42" t="s">
        <v>45</v>
      </c>
      <c r="I107" s="42" t="s">
        <v>45</v>
      </c>
      <c r="J107" s="42" t="s">
        <v>45</v>
      </c>
      <c r="K107" s="42" t="s">
        <v>45</v>
      </c>
      <c r="L107" s="42">
        <v>2</v>
      </c>
      <c r="M107" s="68" t="s">
        <v>432</v>
      </c>
      <c r="N107" s="18"/>
      <c r="O107" s="18"/>
      <c r="P107" s="55"/>
    </row>
    <row r="108" spans="1:16" ht="27">
      <c r="A108" s="113"/>
      <c r="B108" s="39">
        <v>116</v>
      </c>
      <c r="C108" s="39"/>
      <c r="D108" s="39" t="s">
        <v>433</v>
      </c>
      <c r="E108" s="42" t="s">
        <v>44</v>
      </c>
      <c r="F108" s="42" t="s">
        <v>45</v>
      </c>
      <c r="G108" s="42" t="s">
        <v>46</v>
      </c>
      <c r="H108" s="42" t="s">
        <v>45</v>
      </c>
      <c r="I108" s="42" t="s">
        <v>45</v>
      </c>
      <c r="J108" s="42" t="s">
        <v>45</v>
      </c>
      <c r="K108" s="42" t="s">
        <v>45</v>
      </c>
      <c r="L108" s="42">
        <v>2</v>
      </c>
      <c r="M108" s="68" t="s">
        <v>434</v>
      </c>
      <c r="N108" s="18"/>
      <c r="O108" s="18"/>
      <c r="P108" s="55"/>
    </row>
    <row r="109" spans="1:16" ht="27">
      <c r="A109" s="113"/>
      <c r="B109" s="39">
        <v>117</v>
      </c>
      <c r="C109" s="39"/>
      <c r="D109" s="39" t="s">
        <v>435</v>
      </c>
      <c r="E109" s="42" t="s">
        <v>44</v>
      </c>
      <c r="F109" s="42" t="s">
        <v>45</v>
      </c>
      <c r="G109" s="42" t="s">
        <v>46</v>
      </c>
      <c r="H109" s="42" t="s">
        <v>45</v>
      </c>
      <c r="I109" s="42" t="s">
        <v>45</v>
      </c>
      <c r="J109" s="42" t="s">
        <v>45</v>
      </c>
      <c r="K109" s="42" t="s">
        <v>45</v>
      </c>
      <c r="L109" s="42">
        <v>2</v>
      </c>
      <c r="M109" s="68" t="s">
        <v>436</v>
      </c>
      <c r="N109" s="18"/>
      <c r="O109" s="18"/>
      <c r="P109" s="55"/>
    </row>
    <row r="110" spans="1:16" ht="27">
      <c r="A110" s="113"/>
      <c r="B110" s="39">
        <v>118</v>
      </c>
      <c r="C110" s="39"/>
      <c r="D110" s="39" t="s">
        <v>437</v>
      </c>
      <c r="E110" s="42" t="s">
        <v>44</v>
      </c>
      <c r="F110" s="42" t="s">
        <v>45</v>
      </c>
      <c r="G110" s="42" t="s">
        <v>46</v>
      </c>
      <c r="H110" s="42" t="s">
        <v>45</v>
      </c>
      <c r="I110" s="42" t="s">
        <v>45</v>
      </c>
      <c r="J110" s="42" t="s">
        <v>45</v>
      </c>
      <c r="K110" s="42" t="s">
        <v>45</v>
      </c>
      <c r="L110" s="42">
        <v>2</v>
      </c>
      <c r="M110" s="68" t="s">
        <v>438</v>
      </c>
      <c r="N110" s="18"/>
      <c r="O110" s="18"/>
      <c r="P110" s="55"/>
    </row>
    <row r="111" spans="1:16" ht="27">
      <c r="A111" s="113"/>
      <c r="B111" s="39">
        <v>119</v>
      </c>
      <c r="C111" s="39"/>
      <c r="D111" s="39" t="s">
        <v>439</v>
      </c>
      <c r="E111" s="42" t="s">
        <v>44</v>
      </c>
      <c r="F111" s="42" t="s">
        <v>45</v>
      </c>
      <c r="G111" s="42" t="s">
        <v>46</v>
      </c>
      <c r="H111" s="42" t="s">
        <v>45</v>
      </c>
      <c r="I111" s="42" t="s">
        <v>45</v>
      </c>
      <c r="J111" s="42" t="s">
        <v>45</v>
      </c>
      <c r="K111" s="42" t="s">
        <v>45</v>
      </c>
      <c r="L111" s="42">
        <v>4</v>
      </c>
      <c r="M111" s="68" t="s">
        <v>440</v>
      </c>
      <c r="N111" s="18"/>
      <c r="O111" s="18"/>
      <c r="P111" s="55"/>
    </row>
    <row r="112" spans="1:16" ht="54">
      <c r="A112" s="113"/>
      <c r="B112" s="39">
        <v>120</v>
      </c>
      <c r="C112" s="39"/>
      <c r="D112" s="39" t="s">
        <v>441</v>
      </c>
      <c r="E112" s="42" t="s">
        <v>44</v>
      </c>
      <c r="F112" s="42" t="s">
        <v>45</v>
      </c>
      <c r="G112" s="42" t="s">
        <v>46</v>
      </c>
      <c r="H112" s="42" t="s">
        <v>45</v>
      </c>
      <c r="I112" s="42" t="s">
        <v>45</v>
      </c>
      <c r="J112" s="42" t="s">
        <v>45</v>
      </c>
      <c r="K112" s="42" t="s">
        <v>45</v>
      </c>
      <c r="L112" s="42">
        <v>4</v>
      </c>
      <c r="M112" s="68" t="s">
        <v>442</v>
      </c>
      <c r="N112" s="18"/>
      <c r="O112" s="18"/>
      <c r="P112" s="55"/>
    </row>
    <row r="113" spans="1:16" ht="54">
      <c r="A113" s="113"/>
      <c r="B113" s="39">
        <v>121</v>
      </c>
      <c r="C113" s="39"/>
      <c r="D113" s="39" t="s">
        <v>443</v>
      </c>
      <c r="E113" s="42" t="s">
        <v>44</v>
      </c>
      <c r="F113" s="42" t="s">
        <v>45</v>
      </c>
      <c r="G113" s="42" t="s">
        <v>46</v>
      </c>
      <c r="H113" s="42" t="s">
        <v>45</v>
      </c>
      <c r="I113" s="42" t="s">
        <v>45</v>
      </c>
      <c r="J113" s="42" t="s">
        <v>45</v>
      </c>
      <c r="K113" s="42" t="s">
        <v>45</v>
      </c>
      <c r="L113" s="42">
        <v>4</v>
      </c>
      <c r="M113" s="68" t="s">
        <v>444</v>
      </c>
      <c r="N113" s="18"/>
      <c r="O113" s="18"/>
      <c r="P113" s="55"/>
    </row>
    <row r="114" spans="1:16" ht="162">
      <c r="A114" s="113"/>
      <c r="B114" s="39">
        <v>122</v>
      </c>
      <c r="C114" s="39"/>
      <c r="D114" s="39" t="s">
        <v>445</v>
      </c>
      <c r="E114" s="42" t="s">
        <v>44</v>
      </c>
      <c r="F114" s="42" t="s">
        <v>45</v>
      </c>
      <c r="G114" s="42" t="s">
        <v>46</v>
      </c>
      <c r="H114" s="42" t="s">
        <v>45</v>
      </c>
      <c r="I114" s="42" t="s">
        <v>45</v>
      </c>
      <c r="J114" s="42" t="s">
        <v>45</v>
      </c>
      <c r="K114" s="42" t="s">
        <v>45</v>
      </c>
      <c r="L114" s="42">
        <v>8</v>
      </c>
      <c r="M114" s="68" t="s">
        <v>446</v>
      </c>
      <c r="N114" s="18"/>
      <c r="O114" s="18"/>
      <c r="P114" s="55"/>
    </row>
    <row r="115" spans="1:16" ht="162">
      <c r="A115" s="113"/>
      <c r="B115" s="39">
        <v>123</v>
      </c>
      <c r="C115" s="39"/>
      <c r="D115" s="39" t="s">
        <v>447</v>
      </c>
      <c r="E115" s="42" t="s">
        <v>44</v>
      </c>
      <c r="F115" s="42" t="s">
        <v>45</v>
      </c>
      <c r="G115" s="42" t="s">
        <v>46</v>
      </c>
      <c r="H115" s="42" t="s">
        <v>45</v>
      </c>
      <c r="I115" s="42" t="s">
        <v>45</v>
      </c>
      <c r="J115" s="42" t="s">
        <v>45</v>
      </c>
      <c r="K115" s="42" t="s">
        <v>45</v>
      </c>
      <c r="L115" s="42">
        <v>8</v>
      </c>
      <c r="M115" s="68" t="s">
        <v>446</v>
      </c>
      <c r="N115" s="18"/>
      <c r="O115" s="18"/>
      <c r="P115" s="55"/>
    </row>
    <row r="116" spans="1:16" ht="94.5">
      <c r="A116" s="113"/>
      <c r="B116" s="39">
        <v>124</v>
      </c>
      <c r="C116" s="39"/>
      <c r="D116" s="39" t="s">
        <v>448</v>
      </c>
      <c r="E116" s="42" t="s">
        <v>44</v>
      </c>
      <c r="F116" s="42" t="s">
        <v>45</v>
      </c>
      <c r="G116" s="42" t="s">
        <v>46</v>
      </c>
      <c r="H116" s="42" t="s">
        <v>45</v>
      </c>
      <c r="I116" s="42" t="s">
        <v>45</v>
      </c>
      <c r="J116" s="42" t="s">
        <v>45</v>
      </c>
      <c r="K116" s="42" t="s">
        <v>45</v>
      </c>
      <c r="L116" s="42">
        <v>8</v>
      </c>
      <c r="M116" s="68" t="s">
        <v>449</v>
      </c>
      <c r="N116" s="18"/>
      <c r="O116" s="18"/>
      <c r="P116" s="55"/>
    </row>
    <row r="117" spans="1:16" ht="94.5">
      <c r="A117" s="113"/>
      <c r="B117" s="39">
        <v>125</v>
      </c>
      <c r="C117" s="39"/>
      <c r="D117" s="39" t="s">
        <v>450</v>
      </c>
      <c r="E117" s="42" t="s">
        <v>44</v>
      </c>
      <c r="F117" s="42" t="s">
        <v>45</v>
      </c>
      <c r="G117" s="42" t="s">
        <v>46</v>
      </c>
      <c r="H117" s="42" t="s">
        <v>45</v>
      </c>
      <c r="I117" s="42" t="s">
        <v>45</v>
      </c>
      <c r="J117" s="42" t="s">
        <v>45</v>
      </c>
      <c r="K117" s="42" t="s">
        <v>45</v>
      </c>
      <c r="L117" s="42">
        <v>24</v>
      </c>
      <c r="M117" s="68" t="s">
        <v>451</v>
      </c>
      <c r="N117" s="18"/>
      <c r="O117" s="18"/>
      <c r="P117" s="55"/>
    </row>
    <row r="118" spans="1:16" ht="81">
      <c r="A118" s="113"/>
      <c r="B118" s="39">
        <v>126</v>
      </c>
      <c r="C118" s="39"/>
      <c r="D118" s="39" t="s">
        <v>452</v>
      </c>
      <c r="E118" s="42" t="s">
        <v>44</v>
      </c>
      <c r="F118" s="42" t="s">
        <v>45</v>
      </c>
      <c r="G118" s="42" t="s">
        <v>46</v>
      </c>
      <c r="H118" s="42" t="s">
        <v>45</v>
      </c>
      <c r="I118" s="42" t="s">
        <v>45</v>
      </c>
      <c r="J118" s="42" t="s">
        <v>45</v>
      </c>
      <c r="K118" s="42" t="s">
        <v>45</v>
      </c>
      <c r="L118" s="42">
        <v>8</v>
      </c>
      <c r="M118" s="68" t="s">
        <v>453</v>
      </c>
      <c r="N118" s="18"/>
      <c r="O118" s="18"/>
      <c r="P118" s="55"/>
    </row>
    <row r="119" spans="1:16" ht="94.5">
      <c r="A119" s="113"/>
      <c r="B119" s="39">
        <v>127</v>
      </c>
      <c r="C119" s="39"/>
      <c r="D119" s="39" t="s">
        <v>454</v>
      </c>
      <c r="E119" s="42" t="s">
        <v>44</v>
      </c>
      <c r="F119" s="42" t="s">
        <v>45</v>
      </c>
      <c r="G119" s="42" t="s">
        <v>46</v>
      </c>
      <c r="H119" s="42" t="s">
        <v>45</v>
      </c>
      <c r="I119" s="42" t="s">
        <v>45</v>
      </c>
      <c r="J119" s="42" t="s">
        <v>45</v>
      </c>
      <c r="K119" s="42" t="s">
        <v>45</v>
      </c>
      <c r="L119" s="42">
        <v>24</v>
      </c>
      <c r="M119" s="68" t="s">
        <v>455</v>
      </c>
      <c r="N119" s="18"/>
      <c r="O119" s="18"/>
      <c r="P119" s="55"/>
    </row>
    <row r="120" spans="1:16" ht="40.5">
      <c r="A120" s="113"/>
      <c r="B120" s="39">
        <v>128</v>
      </c>
      <c r="C120" s="39"/>
      <c r="D120" s="39" t="s">
        <v>456</v>
      </c>
      <c r="E120" s="42" t="s">
        <v>44</v>
      </c>
      <c r="F120" s="42" t="s">
        <v>45</v>
      </c>
      <c r="G120" s="42" t="s">
        <v>46</v>
      </c>
      <c r="H120" s="42" t="s">
        <v>45</v>
      </c>
      <c r="I120" s="42" t="s">
        <v>45</v>
      </c>
      <c r="J120" s="42" t="s">
        <v>45</v>
      </c>
      <c r="K120" s="42" t="s">
        <v>45</v>
      </c>
      <c r="L120" s="42">
        <v>8</v>
      </c>
      <c r="M120" s="68" t="s">
        <v>457</v>
      </c>
      <c r="N120" s="18"/>
      <c r="O120" s="18"/>
      <c r="P120" s="55"/>
    </row>
    <row r="121" spans="1:16">
      <c r="A121" s="113"/>
      <c r="B121" s="39">
        <v>129</v>
      </c>
      <c r="C121" s="39"/>
      <c r="D121" s="39" t="s">
        <v>232</v>
      </c>
      <c r="E121" s="42" t="s">
        <v>44</v>
      </c>
      <c r="F121" s="42" t="s">
        <v>45</v>
      </c>
      <c r="G121" s="42" t="s">
        <v>46</v>
      </c>
      <c r="H121" s="42" t="s">
        <v>45</v>
      </c>
      <c r="I121" s="42" t="s">
        <v>45</v>
      </c>
      <c r="J121" s="42" t="s">
        <v>45</v>
      </c>
      <c r="K121" s="42" t="s">
        <v>45</v>
      </c>
      <c r="L121" s="42">
        <v>8</v>
      </c>
      <c r="M121" s="39" t="s">
        <v>232</v>
      </c>
      <c r="N121" s="69"/>
      <c r="O121" s="69"/>
      <c r="P121" s="19"/>
    </row>
    <row r="128" spans="1:16">
      <c r="K128" t="s">
        <v>233</v>
      </c>
      <c r="L128" s="1">
        <f>SUM(L2:L127)</f>
        <v>1184</v>
      </c>
    </row>
  </sheetData>
  <mergeCells count="5">
    <mergeCell ref="A2:A7"/>
    <mergeCell ref="A10:A20"/>
    <mergeCell ref="A36:A65"/>
    <mergeCell ref="A66:A89"/>
    <mergeCell ref="A90:A121"/>
  </mergeCells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7"/>
  <sheetViews>
    <sheetView topLeftCell="A3" workbookViewId="0">
      <selection activeCell="C2" sqref="C2:M29"/>
    </sheetView>
  </sheetViews>
  <sheetFormatPr defaultColWidth="9" defaultRowHeight="13.5"/>
  <cols>
    <col min="2" max="2" width="5.5" customWidth="1"/>
    <col min="3" max="3" width="5.75" customWidth="1"/>
    <col min="4" max="4" width="36.375" customWidth="1"/>
    <col min="7" max="7" width="9" style="1"/>
    <col min="12" max="12" width="9" style="1"/>
    <col min="13" max="13" width="105" customWidth="1"/>
    <col min="14" max="14" width="19.375" style="2" customWidth="1"/>
  </cols>
  <sheetData>
    <row r="1" spans="1:18" ht="24">
      <c r="A1" s="3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5" t="s">
        <v>32</v>
      </c>
      <c r="I1" s="5" t="s">
        <v>33</v>
      </c>
      <c r="J1" s="5" t="s">
        <v>34</v>
      </c>
      <c r="K1" s="4" t="s">
        <v>35</v>
      </c>
      <c r="L1" s="4" t="s">
        <v>36</v>
      </c>
      <c r="M1" s="4" t="s">
        <v>37</v>
      </c>
      <c r="N1" s="16" t="s">
        <v>38</v>
      </c>
      <c r="O1" s="4" t="s">
        <v>39</v>
      </c>
      <c r="P1" s="4" t="s">
        <v>40</v>
      </c>
      <c r="Q1" t="s">
        <v>41</v>
      </c>
      <c r="R1">
        <f>SUM(L2:L672)</f>
        <v>2368</v>
      </c>
    </row>
    <row r="2" spans="1:18">
      <c r="A2" s="119" t="s">
        <v>458</v>
      </c>
      <c r="B2" s="6">
        <f>ROW(B1)</f>
        <v>1</v>
      </c>
      <c r="C2" s="6"/>
      <c r="D2" s="7" t="s">
        <v>459</v>
      </c>
      <c r="E2" s="8" t="s">
        <v>44</v>
      </c>
      <c r="F2" s="9" t="s">
        <v>45</v>
      </c>
      <c r="G2" s="8" t="s">
        <v>46</v>
      </c>
      <c r="H2" s="9" t="s">
        <v>45</v>
      </c>
      <c r="I2" s="9" t="s">
        <v>45</v>
      </c>
      <c r="J2" s="9" t="s">
        <v>45</v>
      </c>
      <c r="K2" s="9" t="s">
        <v>45</v>
      </c>
      <c r="L2" s="17">
        <v>16</v>
      </c>
      <c r="M2" s="15" t="s">
        <v>460</v>
      </c>
      <c r="N2" s="18"/>
      <c r="O2" s="19"/>
      <c r="P2" s="19"/>
    </row>
    <row r="3" spans="1:18">
      <c r="A3" s="120"/>
      <c r="B3" s="6">
        <f t="shared" ref="B3:B66" si="0">ROW(B2)</f>
        <v>2</v>
      </c>
      <c r="C3" s="6"/>
      <c r="D3" s="7" t="s">
        <v>48</v>
      </c>
      <c r="E3" s="8" t="s">
        <v>44</v>
      </c>
      <c r="F3" s="9" t="s">
        <v>45</v>
      </c>
      <c r="G3" s="8" t="s">
        <v>46</v>
      </c>
      <c r="H3" s="9" t="s">
        <v>45</v>
      </c>
      <c r="I3" s="9" t="s">
        <v>45</v>
      </c>
      <c r="J3" s="9" t="s">
        <v>45</v>
      </c>
      <c r="K3" s="9" t="s">
        <v>45</v>
      </c>
      <c r="L3" s="17">
        <v>16</v>
      </c>
      <c r="M3" s="15" t="s">
        <v>461</v>
      </c>
      <c r="N3" s="18"/>
      <c r="O3" s="19"/>
      <c r="P3" s="19"/>
    </row>
    <row r="4" spans="1:18">
      <c r="A4" s="120"/>
      <c r="B4" s="6">
        <f t="shared" si="0"/>
        <v>3</v>
      </c>
      <c r="C4" s="6"/>
      <c r="D4" s="7" t="s">
        <v>50</v>
      </c>
      <c r="E4" s="8" t="s">
        <v>44</v>
      </c>
      <c r="F4" s="8" t="s">
        <v>45</v>
      </c>
      <c r="G4" s="8" t="s">
        <v>46</v>
      </c>
      <c r="H4" s="8" t="s">
        <v>45</v>
      </c>
      <c r="I4" s="8" t="s">
        <v>45</v>
      </c>
      <c r="J4" s="8" t="s">
        <v>45</v>
      </c>
      <c r="K4" s="8" t="s">
        <v>45</v>
      </c>
      <c r="L4" s="17">
        <v>8</v>
      </c>
      <c r="M4" s="15" t="s">
        <v>462</v>
      </c>
      <c r="N4" s="18"/>
      <c r="O4" s="19"/>
      <c r="P4" s="19"/>
    </row>
    <row r="5" spans="1:18">
      <c r="A5" s="120"/>
      <c r="B5" s="6">
        <f t="shared" si="0"/>
        <v>4</v>
      </c>
      <c r="C5" s="6"/>
      <c r="D5" s="7" t="s">
        <v>463</v>
      </c>
      <c r="E5" s="8" t="s">
        <v>44</v>
      </c>
      <c r="F5" s="9" t="s">
        <v>45</v>
      </c>
      <c r="G5" s="8" t="s">
        <v>46</v>
      </c>
      <c r="H5" s="9" t="s">
        <v>45</v>
      </c>
      <c r="I5" s="9" t="s">
        <v>45</v>
      </c>
      <c r="J5" s="9" t="s">
        <v>45</v>
      </c>
      <c r="K5" s="9" t="s">
        <v>45</v>
      </c>
      <c r="L5" s="17">
        <v>8</v>
      </c>
      <c r="M5" s="15" t="s">
        <v>464</v>
      </c>
      <c r="N5" s="20"/>
      <c r="O5" s="19" t="s">
        <v>465</v>
      </c>
      <c r="P5" s="19"/>
    </row>
    <row r="6" spans="1:18">
      <c r="A6" s="120"/>
      <c r="B6" s="6">
        <f t="shared" si="0"/>
        <v>5</v>
      </c>
      <c r="C6" s="6"/>
      <c r="D6" s="7" t="s">
        <v>466</v>
      </c>
      <c r="E6" s="8" t="s">
        <v>44</v>
      </c>
      <c r="F6" s="9" t="s">
        <v>45</v>
      </c>
      <c r="G6" s="8" t="s">
        <v>46</v>
      </c>
      <c r="H6" s="9" t="s">
        <v>45</v>
      </c>
      <c r="I6" s="9" t="s">
        <v>45</v>
      </c>
      <c r="J6" s="9" t="s">
        <v>45</v>
      </c>
      <c r="K6" s="9" t="s">
        <v>45</v>
      </c>
      <c r="L6" s="17">
        <v>8</v>
      </c>
      <c r="M6" s="15" t="s">
        <v>467</v>
      </c>
      <c r="N6" s="20"/>
      <c r="O6" s="19" t="s">
        <v>465</v>
      </c>
      <c r="P6" s="19"/>
    </row>
    <row r="7" spans="1:18">
      <c r="A7" s="120"/>
      <c r="B7" s="6">
        <f t="shared" si="0"/>
        <v>6</v>
      </c>
      <c r="C7" s="6"/>
      <c r="D7" s="7" t="s">
        <v>468</v>
      </c>
      <c r="E7" s="8" t="s">
        <v>44</v>
      </c>
      <c r="F7" s="9" t="s">
        <v>45</v>
      </c>
      <c r="G7" s="8" t="s">
        <v>46</v>
      </c>
      <c r="H7" s="9" t="s">
        <v>45</v>
      </c>
      <c r="I7" s="9" t="s">
        <v>45</v>
      </c>
      <c r="J7" s="9" t="s">
        <v>45</v>
      </c>
      <c r="K7" s="9" t="s">
        <v>45</v>
      </c>
      <c r="L7" s="17">
        <v>8</v>
      </c>
      <c r="M7" s="15" t="s">
        <v>469</v>
      </c>
      <c r="N7" s="20"/>
      <c r="O7" s="19" t="s">
        <v>465</v>
      </c>
      <c r="P7" s="19"/>
    </row>
    <row r="8" spans="1:18">
      <c r="A8" s="120"/>
      <c r="B8" s="6">
        <f t="shared" si="0"/>
        <v>7</v>
      </c>
      <c r="C8" s="6"/>
      <c r="D8" s="7" t="s">
        <v>470</v>
      </c>
      <c r="E8" s="8" t="s">
        <v>44</v>
      </c>
      <c r="F8" s="9" t="s">
        <v>45</v>
      </c>
      <c r="G8" s="8" t="s">
        <v>46</v>
      </c>
      <c r="H8" s="9" t="s">
        <v>45</v>
      </c>
      <c r="I8" s="9" t="s">
        <v>45</v>
      </c>
      <c r="J8" s="9" t="s">
        <v>45</v>
      </c>
      <c r="K8" s="9" t="s">
        <v>45</v>
      </c>
      <c r="L8" s="17">
        <v>8</v>
      </c>
      <c r="M8" s="15"/>
      <c r="N8" s="20"/>
      <c r="O8" s="19" t="s">
        <v>465</v>
      </c>
      <c r="P8" s="19"/>
    </row>
    <row r="9" spans="1:18">
      <c r="A9" s="120"/>
      <c r="B9" s="6">
        <f t="shared" si="0"/>
        <v>8</v>
      </c>
      <c r="C9" s="6"/>
      <c r="D9" s="7" t="s">
        <v>471</v>
      </c>
      <c r="E9" s="8" t="s">
        <v>44</v>
      </c>
      <c r="F9" s="9" t="s">
        <v>45</v>
      </c>
      <c r="G9" s="8" t="s">
        <v>46</v>
      </c>
      <c r="H9" s="9" t="s">
        <v>45</v>
      </c>
      <c r="I9" s="9" t="s">
        <v>45</v>
      </c>
      <c r="J9" s="9" t="s">
        <v>45</v>
      </c>
      <c r="K9" s="9" t="s">
        <v>45</v>
      </c>
      <c r="L9" s="17">
        <v>8</v>
      </c>
      <c r="M9" s="15"/>
      <c r="N9" s="20"/>
      <c r="O9" s="19" t="s">
        <v>465</v>
      </c>
      <c r="P9" s="19"/>
    </row>
    <row r="10" spans="1:18">
      <c r="A10" s="120"/>
      <c r="B10" s="6">
        <f t="shared" si="0"/>
        <v>9</v>
      </c>
      <c r="C10" s="6"/>
      <c r="D10" s="7" t="s">
        <v>472</v>
      </c>
      <c r="E10" s="8" t="s">
        <v>44</v>
      </c>
      <c r="F10" s="9" t="s">
        <v>45</v>
      </c>
      <c r="G10" s="8" t="s">
        <v>46</v>
      </c>
      <c r="H10" s="9" t="s">
        <v>45</v>
      </c>
      <c r="I10" s="9" t="s">
        <v>45</v>
      </c>
      <c r="J10" s="9" t="s">
        <v>45</v>
      </c>
      <c r="K10" s="9" t="s">
        <v>45</v>
      </c>
      <c r="L10" s="17">
        <v>8</v>
      </c>
      <c r="M10" s="15"/>
      <c r="N10" s="20"/>
      <c r="O10" s="19" t="s">
        <v>465</v>
      </c>
      <c r="P10" s="19"/>
    </row>
    <row r="11" spans="1:18">
      <c r="A11" s="120"/>
      <c r="B11" s="6">
        <f t="shared" si="0"/>
        <v>10</v>
      </c>
      <c r="C11" s="6"/>
      <c r="D11" s="7" t="s">
        <v>473</v>
      </c>
      <c r="E11" s="8" t="s">
        <v>44</v>
      </c>
      <c r="F11" s="9" t="s">
        <v>45</v>
      </c>
      <c r="G11" s="8" t="s">
        <v>46</v>
      </c>
      <c r="H11" s="9" t="s">
        <v>45</v>
      </c>
      <c r="I11" s="9" t="s">
        <v>45</v>
      </c>
      <c r="J11" s="9" t="s">
        <v>45</v>
      </c>
      <c r="K11" s="9" t="s">
        <v>45</v>
      </c>
      <c r="L11" s="17">
        <v>8</v>
      </c>
      <c r="M11" s="15"/>
      <c r="N11" s="20"/>
      <c r="O11" s="19" t="s">
        <v>465</v>
      </c>
      <c r="P11" s="19"/>
    </row>
    <row r="12" spans="1:18">
      <c r="A12" s="120"/>
      <c r="B12" s="6">
        <f t="shared" si="0"/>
        <v>11</v>
      </c>
      <c r="C12" s="6"/>
      <c r="D12" s="7" t="s">
        <v>474</v>
      </c>
      <c r="E12" s="8" t="s">
        <v>44</v>
      </c>
      <c r="F12" s="9" t="s">
        <v>45</v>
      </c>
      <c r="G12" s="8" t="s">
        <v>46</v>
      </c>
      <c r="H12" s="9" t="s">
        <v>45</v>
      </c>
      <c r="I12" s="9" t="s">
        <v>45</v>
      </c>
      <c r="J12" s="9" t="s">
        <v>45</v>
      </c>
      <c r="K12" s="9" t="s">
        <v>45</v>
      </c>
      <c r="L12" s="17">
        <v>8</v>
      </c>
      <c r="M12" s="15"/>
      <c r="N12" s="20"/>
      <c r="O12" s="19" t="s">
        <v>465</v>
      </c>
      <c r="P12" s="19"/>
    </row>
    <row r="13" spans="1:18">
      <c r="A13" s="120"/>
      <c r="B13" s="6">
        <f t="shared" si="0"/>
        <v>12</v>
      </c>
      <c r="C13" s="6"/>
      <c r="D13" s="7" t="s">
        <v>475</v>
      </c>
      <c r="E13" s="8" t="s">
        <v>44</v>
      </c>
      <c r="F13" s="9" t="s">
        <v>45</v>
      </c>
      <c r="G13" s="8" t="s">
        <v>46</v>
      </c>
      <c r="H13" s="9" t="s">
        <v>45</v>
      </c>
      <c r="I13" s="9" t="s">
        <v>45</v>
      </c>
      <c r="J13" s="9" t="s">
        <v>45</v>
      </c>
      <c r="K13" s="9" t="s">
        <v>45</v>
      </c>
      <c r="L13" s="17">
        <v>8</v>
      </c>
      <c r="M13" s="15"/>
      <c r="N13" s="20"/>
      <c r="O13" s="19" t="s">
        <v>465</v>
      </c>
      <c r="P13" s="19"/>
    </row>
    <row r="14" spans="1:18">
      <c r="A14" s="120"/>
      <c r="B14" s="6">
        <f t="shared" si="0"/>
        <v>13</v>
      </c>
      <c r="C14" s="6"/>
      <c r="D14" s="7" t="s">
        <v>476</v>
      </c>
      <c r="E14" s="8" t="s">
        <v>44</v>
      </c>
      <c r="F14" s="9" t="s">
        <v>45</v>
      </c>
      <c r="G14" s="8" t="s">
        <v>46</v>
      </c>
      <c r="H14" s="9" t="s">
        <v>45</v>
      </c>
      <c r="I14" s="9" t="s">
        <v>45</v>
      </c>
      <c r="J14" s="9" t="s">
        <v>45</v>
      </c>
      <c r="K14" s="9" t="s">
        <v>45</v>
      </c>
      <c r="L14" s="17">
        <v>8</v>
      </c>
      <c r="M14" s="15"/>
      <c r="N14" s="20"/>
      <c r="O14" s="19" t="s">
        <v>465</v>
      </c>
      <c r="P14" s="19"/>
    </row>
    <row r="15" spans="1:18">
      <c r="A15" s="120"/>
      <c r="B15" s="6">
        <f t="shared" si="0"/>
        <v>14</v>
      </c>
      <c r="C15" s="6"/>
      <c r="D15" s="7" t="s">
        <v>477</v>
      </c>
      <c r="E15" s="8" t="s">
        <v>44</v>
      </c>
      <c r="F15" s="9" t="s">
        <v>45</v>
      </c>
      <c r="G15" s="8" t="s">
        <v>46</v>
      </c>
      <c r="H15" s="9" t="s">
        <v>45</v>
      </c>
      <c r="I15" s="9" t="s">
        <v>45</v>
      </c>
      <c r="J15" s="9" t="s">
        <v>45</v>
      </c>
      <c r="K15" s="9" t="s">
        <v>45</v>
      </c>
      <c r="L15" s="17">
        <v>8</v>
      </c>
      <c r="M15" s="15"/>
      <c r="N15" s="20"/>
      <c r="O15" s="19" t="s">
        <v>465</v>
      </c>
      <c r="P15" s="19"/>
    </row>
    <row r="16" spans="1:18">
      <c r="A16" s="120"/>
      <c r="B16" s="6">
        <f t="shared" si="0"/>
        <v>15</v>
      </c>
      <c r="C16" s="6"/>
      <c r="D16" s="7" t="s">
        <v>478</v>
      </c>
      <c r="E16" s="8" t="s">
        <v>44</v>
      </c>
      <c r="F16" s="9" t="s">
        <v>45</v>
      </c>
      <c r="G16" s="8" t="s">
        <v>46</v>
      </c>
      <c r="H16" s="9" t="s">
        <v>45</v>
      </c>
      <c r="I16" s="9" t="s">
        <v>45</v>
      </c>
      <c r="J16" s="9" t="s">
        <v>45</v>
      </c>
      <c r="K16" s="9" t="s">
        <v>45</v>
      </c>
      <c r="L16" s="17">
        <v>8</v>
      </c>
      <c r="M16" s="15"/>
      <c r="N16" s="20"/>
      <c r="O16" s="19" t="s">
        <v>465</v>
      </c>
      <c r="P16" s="19"/>
    </row>
    <row r="17" spans="1:16">
      <c r="A17" s="120"/>
      <c r="B17" s="6">
        <f t="shared" si="0"/>
        <v>16</v>
      </c>
      <c r="C17" s="6"/>
      <c r="D17" s="7" t="s">
        <v>479</v>
      </c>
      <c r="E17" s="8" t="s">
        <v>44</v>
      </c>
      <c r="F17" s="9" t="s">
        <v>45</v>
      </c>
      <c r="G17" s="8" t="s">
        <v>46</v>
      </c>
      <c r="H17" s="9" t="s">
        <v>45</v>
      </c>
      <c r="I17" s="9" t="s">
        <v>45</v>
      </c>
      <c r="J17" s="9" t="s">
        <v>45</v>
      </c>
      <c r="K17" s="9" t="s">
        <v>45</v>
      </c>
      <c r="L17" s="17">
        <v>8</v>
      </c>
      <c r="M17" s="15"/>
      <c r="N17" s="20"/>
      <c r="O17" s="19" t="s">
        <v>465</v>
      </c>
      <c r="P17" s="19"/>
    </row>
    <row r="18" spans="1:16">
      <c r="A18" s="120"/>
      <c r="B18" s="6">
        <f t="shared" si="0"/>
        <v>17</v>
      </c>
      <c r="C18" s="6"/>
      <c r="D18" s="7" t="s">
        <v>480</v>
      </c>
      <c r="E18" s="8" t="s">
        <v>44</v>
      </c>
      <c r="F18" s="9" t="s">
        <v>45</v>
      </c>
      <c r="G18" s="8" t="s">
        <v>46</v>
      </c>
      <c r="H18" s="9" t="s">
        <v>45</v>
      </c>
      <c r="I18" s="9" t="s">
        <v>45</v>
      </c>
      <c r="J18" s="9" t="s">
        <v>45</v>
      </c>
      <c r="K18" s="9" t="s">
        <v>45</v>
      </c>
      <c r="L18" s="17">
        <v>8</v>
      </c>
      <c r="M18" s="15"/>
      <c r="N18" s="20"/>
      <c r="O18" s="19" t="s">
        <v>465</v>
      </c>
      <c r="P18" s="19"/>
    </row>
    <row r="19" spans="1:16">
      <c r="A19" s="120"/>
      <c r="B19" s="6">
        <f t="shared" si="0"/>
        <v>18</v>
      </c>
      <c r="C19" s="6"/>
      <c r="D19" s="7" t="s">
        <v>481</v>
      </c>
      <c r="E19" s="8" t="s">
        <v>44</v>
      </c>
      <c r="F19" s="9" t="s">
        <v>45</v>
      </c>
      <c r="G19" s="8" t="s">
        <v>46</v>
      </c>
      <c r="H19" s="9" t="s">
        <v>45</v>
      </c>
      <c r="I19" s="9" t="s">
        <v>45</v>
      </c>
      <c r="J19" s="9" t="s">
        <v>45</v>
      </c>
      <c r="K19" s="9" t="s">
        <v>45</v>
      </c>
      <c r="L19" s="17">
        <v>8</v>
      </c>
      <c r="M19" s="15"/>
      <c r="N19" s="20"/>
      <c r="O19" s="19" t="s">
        <v>465</v>
      </c>
      <c r="P19" s="19"/>
    </row>
    <row r="20" spans="1:16">
      <c r="A20" s="120"/>
      <c r="B20" s="6">
        <f t="shared" si="0"/>
        <v>19</v>
      </c>
      <c r="C20" s="6"/>
      <c r="D20" s="7" t="s">
        <v>482</v>
      </c>
      <c r="E20" s="8" t="s">
        <v>44</v>
      </c>
      <c r="F20" s="9" t="s">
        <v>45</v>
      </c>
      <c r="G20" s="8" t="s">
        <v>46</v>
      </c>
      <c r="H20" s="9" t="s">
        <v>45</v>
      </c>
      <c r="I20" s="9" t="s">
        <v>45</v>
      </c>
      <c r="J20" s="9" t="s">
        <v>45</v>
      </c>
      <c r="K20" s="9" t="s">
        <v>45</v>
      </c>
      <c r="L20" s="17">
        <v>8</v>
      </c>
      <c r="M20" s="15"/>
      <c r="N20" s="20"/>
      <c r="O20" s="19" t="s">
        <v>465</v>
      </c>
      <c r="P20" s="19"/>
    </row>
    <row r="21" spans="1:16">
      <c r="A21" s="120"/>
      <c r="B21" s="6">
        <f t="shared" si="0"/>
        <v>20</v>
      </c>
      <c r="C21" s="6"/>
      <c r="D21" s="7" t="s">
        <v>483</v>
      </c>
      <c r="E21" s="8" t="s">
        <v>44</v>
      </c>
      <c r="F21" s="9" t="s">
        <v>45</v>
      </c>
      <c r="G21" s="8" t="s">
        <v>46</v>
      </c>
      <c r="H21" s="9" t="s">
        <v>45</v>
      </c>
      <c r="I21" s="9" t="s">
        <v>45</v>
      </c>
      <c r="J21" s="9" t="s">
        <v>45</v>
      </c>
      <c r="K21" s="9" t="s">
        <v>45</v>
      </c>
      <c r="L21" s="17">
        <v>8</v>
      </c>
      <c r="M21" s="15"/>
      <c r="N21" s="20"/>
      <c r="O21" s="19" t="s">
        <v>465</v>
      </c>
      <c r="P21" s="19"/>
    </row>
    <row r="22" spans="1:16">
      <c r="A22" s="120"/>
      <c r="B22" s="6">
        <f t="shared" si="0"/>
        <v>21</v>
      </c>
      <c r="C22" s="6"/>
      <c r="D22" s="7" t="s">
        <v>484</v>
      </c>
      <c r="E22" s="8" t="s">
        <v>44</v>
      </c>
      <c r="F22" s="9" t="s">
        <v>45</v>
      </c>
      <c r="G22" s="8" t="s">
        <v>46</v>
      </c>
      <c r="H22" s="9" t="s">
        <v>45</v>
      </c>
      <c r="I22" s="9" t="s">
        <v>45</v>
      </c>
      <c r="J22" s="9" t="s">
        <v>45</v>
      </c>
      <c r="K22" s="9" t="s">
        <v>45</v>
      </c>
      <c r="L22" s="17">
        <v>8</v>
      </c>
      <c r="M22" s="15"/>
      <c r="N22" s="20"/>
      <c r="O22" s="19" t="s">
        <v>465</v>
      </c>
      <c r="P22" s="19"/>
    </row>
    <row r="23" spans="1:16">
      <c r="A23" s="120"/>
      <c r="B23" s="6">
        <f t="shared" si="0"/>
        <v>22</v>
      </c>
      <c r="C23" s="6"/>
      <c r="D23" s="7" t="s">
        <v>485</v>
      </c>
      <c r="E23" s="8" t="s">
        <v>44</v>
      </c>
      <c r="F23" s="9" t="s">
        <v>45</v>
      </c>
      <c r="G23" s="8" t="s">
        <v>46</v>
      </c>
      <c r="H23" s="9" t="s">
        <v>45</v>
      </c>
      <c r="I23" s="9" t="s">
        <v>45</v>
      </c>
      <c r="J23" s="9" t="s">
        <v>45</v>
      </c>
      <c r="K23" s="9" t="s">
        <v>45</v>
      </c>
      <c r="L23" s="17">
        <v>8</v>
      </c>
      <c r="M23" s="15"/>
      <c r="N23" s="20"/>
      <c r="O23" s="19" t="s">
        <v>465</v>
      </c>
      <c r="P23" s="19"/>
    </row>
    <row r="24" spans="1:16">
      <c r="A24" s="120"/>
      <c r="B24" s="6">
        <f t="shared" si="0"/>
        <v>23</v>
      </c>
      <c r="C24" s="6"/>
      <c r="D24" s="7" t="s">
        <v>486</v>
      </c>
      <c r="E24" s="8" t="s">
        <v>44</v>
      </c>
      <c r="F24" s="9" t="s">
        <v>45</v>
      </c>
      <c r="G24" s="8" t="s">
        <v>46</v>
      </c>
      <c r="H24" s="9" t="s">
        <v>45</v>
      </c>
      <c r="I24" s="9" t="s">
        <v>45</v>
      </c>
      <c r="J24" s="9" t="s">
        <v>45</v>
      </c>
      <c r="K24" s="9" t="s">
        <v>45</v>
      </c>
      <c r="L24" s="17">
        <v>8</v>
      </c>
      <c r="M24" s="15"/>
      <c r="N24" s="20"/>
      <c r="O24" s="19" t="s">
        <v>465</v>
      </c>
      <c r="P24" s="19"/>
    </row>
    <row r="25" spans="1:16">
      <c r="A25" s="120"/>
      <c r="B25" s="6">
        <f t="shared" si="0"/>
        <v>24</v>
      </c>
      <c r="C25" s="6"/>
      <c r="D25" s="7" t="s">
        <v>487</v>
      </c>
      <c r="E25" s="8" t="s">
        <v>44</v>
      </c>
      <c r="F25" s="9" t="s">
        <v>45</v>
      </c>
      <c r="G25" s="8" t="s">
        <v>46</v>
      </c>
      <c r="H25" s="9" t="s">
        <v>45</v>
      </c>
      <c r="I25" s="9" t="s">
        <v>45</v>
      </c>
      <c r="J25" s="9" t="s">
        <v>45</v>
      </c>
      <c r="K25" s="9" t="s">
        <v>45</v>
      </c>
      <c r="L25" s="17">
        <v>8</v>
      </c>
      <c r="M25" s="15"/>
      <c r="N25" s="20"/>
      <c r="O25" s="19" t="s">
        <v>465</v>
      </c>
      <c r="P25" s="19"/>
    </row>
    <row r="26" spans="1:16">
      <c r="A26" s="120"/>
      <c r="B26" s="6">
        <f t="shared" si="0"/>
        <v>25</v>
      </c>
      <c r="C26" s="6"/>
      <c r="D26" s="7" t="s">
        <v>488</v>
      </c>
      <c r="E26" s="8" t="s">
        <v>44</v>
      </c>
      <c r="F26" s="9" t="s">
        <v>45</v>
      </c>
      <c r="G26" s="8" t="s">
        <v>46</v>
      </c>
      <c r="H26" s="9" t="s">
        <v>45</v>
      </c>
      <c r="I26" s="9" t="s">
        <v>45</v>
      </c>
      <c r="J26" s="9" t="s">
        <v>45</v>
      </c>
      <c r="K26" s="9" t="s">
        <v>45</v>
      </c>
      <c r="L26" s="17">
        <v>8</v>
      </c>
      <c r="M26" s="15"/>
      <c r="N26" s="20"/>
      <c r="O26" s="19" t="s">
        <v>465</v>
      </c>
      <c r="P26" s="19"/>
    </row>
    <row r="27" spans="1:16">
      <c r="A27" s="120"/>
      <c r="B27" s="6">
        <f t="shared" si="0"/>
        <v>26</v>
      </c>
      <c r="C27" s="6"/>
      <c r="D27" s="7" t="s">
        <v>489</v>
      </c>
      <c r="E27" s="8" t="s">
        <v>44</v>
      </c>
      <c r="F27" s="9" t="s">
        <v>45</v>
      </c>
      <c r="G27" s="8" t="s">
        <v>46</v>
      </c>
      <c r="H27" s="9" t="s">
        <v>45</v>
      </c>
      <c r="I27" s="9" t="s">
        <v>45</v>
      </c>
      <c r="J27" s="9" t="s">
        <v>45</v>
      </c>
      <c r="K27" s="9" t="s">
        <v>45</v>
      </c>
      <c r="L27" s="17">
        <v>8</v>
      </c>
      <c r="M27" s="15"/>
      <c r="N27" s="20"/>
      <c r="O27" s="19" t="s">
        <v>465</v>
      </c>
      <c r="P27" s="19"/>
    </row>
    <row r="28" spans="1:16">
      <c r="A28" s="120"/>
      <c r="B28" s="6">
        <f t="shared" si="0"/>
        <v>27</v>
      </c>
      <c r="C28" s="6"/>
      <c r="D28" s="7" t="s">
        <v>490</v>
      </c>
      <c r="E28" s="8" t="s">
        <v>44</v>
      </c>
      <c r="F28" s="9" t="s">
        <v>45</v>
      </c>
      <c r="G28" s="8" t="s">
        <v>46</v>
      </c>
      <c r="H28" s="9" t="s">
        <v>45</v>
      </c>
      <c r="I28" s="9" t="s">
        <v>45</v>
      </c>
      <c r="J28" s="9" t="s">
        <v>45</v>
      </c>
      <c r="K28" s="9" t="s">
        <v>45</v>
      </c>
      <c r="L28" s="17">
        <v>8</v>
      </c>
      <c r="M28" s="15"/>
      <c r="N28" s="20"/>
      <c r="O28" s="19" t="s">
        <v>465</v>
      </c>
      <c r="P28" s="19"/>
    </row>
    <row r="29" spans="1:16">
      <c r="A29" s="120"/>
      <c r="B29" s="6">
        <f t="shared" si="0"/>
        <v>28</v>
      </c>
      <c r="C29" s="6"/>
      <c r="D29" s="7" t="s">
        <v>491</v>
      </c>
      <c r="E29" s="8" t="s">
        <v>44</v>
      </c>
      <c r="F29" s="9" t="s">
        <v>45</v>
      </c>
      <c r="G29" s="8" t="s">
        <v>46</v>
      </c>
      <c r="H29" s="9" t="s">
        <v>45</v>
      </c>
      <c r="I29" s="9" t="s">
        <v>45</v>
      </c>
      <c r="J29" s="9">
        <v>20</v>
      </c>
      <c r="K29" s="9" t="s">
        <v>45</v>
      </c>
      <c r="L29" s="17">
        <v>4</v>
      </c>
      <c r="M29" s="15" t="s">
        <v>492</v>
      </c>
      <c r="N29" s="20"/>
      <c r="O29" s="19" t="s">
        <v>465</v>
      </c>
      <c r="P29" s="19"/>
    </row>
    <row r="30" spans="1:16">
      <c r="A30" s="120"/>
      <c r="B30" s="6">
        <f t="shared" si="0"/>
        <v>29</v>
      </c>
      <c r="C30" s="6"/>
      <c r="D30" s="7" t="s">
        <v>493</v>
      </c>
      <c r="E30" s="8" t="s">
        <v>44</v>
      </c>
      <c r="F30" s="9" t="s">
        <v>45</v>
      </c>
      <c r="G30" s="8" t="s">
        <v>46</v>
      </c>
      <c r="H30" s="9" t="s">
        <v>45</v>
      </c>
      <c r="I30" s="9" t="s">
        <v>45</v>
      </c>
      <c r="J30" s="9">
        <v>20</v>
      </c>
      <c r="K30" s="9" t="s">
        <v>45</v>
      </c>
      <c r="L30" s="17">
        <v>4</v>
      </c>
      <c r="M30" s="15" t="s">
        <v>494</v>
      </c>
      <c r="N30" s="20"/>
      <c r="O30" s="19" t="s">
        <v>465</v>
      </c>
      <c r="P30" s="19"/>
    </row>
    <row r="31" spans="1:16">
      <c r="A31" s="120"/>
      <c r="B31" s="6">
        <f t="shared" si="0"/>
        <v>30</v>
      </c>
      <c r="C31" s="6"/>
      <c r="D31" s="7" t="s">
        <v>495</v>
      </c>
      <c r="E31" s="8" t="s">
        <v>44</v>
      </c>
      <c r="F31" s="9" t="s">
        <v>45</v>
      </c>
      <c r="G31" s="8" t="s">
        <v>46</v>
      </c>
      <c r="H31" s="9" t="s">
        <v>45</v>
      </c>
      <c r="I31" s="9" t="s">
        <v>45</v>
      </c>
      <c r="J31" s="9">
        <v>20</v>
      </c>
      <c r="K31" s="9" t="s">
        <v>45</v>
      </c>
      <c r="L31" s="17">
        <v>4</v>
      </c>
      <c r="M31" s="15" t="s">
        <v>496</v>
      </c>
      <c r="N31" s="20"/>
      <c r="O31" s="19" t="s">
        <v>465</v>
      </c>
      <c r="P31" s="19"/>
    </row>
    <row r="32" spans="1:16">
      <c r="A32" s="120"/>
      <c r="B32" s="6">
        <f t="shared" si="0"/>
        <v>31</v>
      </c>
      <c r="C32" s="6"/>
      <c r="D32" s="7" t="s">
        <v>497</v>
      </c>
      <c r="E32" s="8" t="s">
        <v>44</v>
      </c>
      <c r="F32" s="9" t="s">
        <v>45</v>
      </c>
      <c r="G32" s="8" t="s">
        <v>46</v>
      </c>
      <c r="H32" s="9" t="s">
        <v>45</v>
      </c>
      <c r="I32" s="9" t="s">
        <v>45</v>
      </c>
      <c r="J32" s="9">
        <v>20</v>
      </c>
      <c r="K32" s="9" t="s">
        <v>45</v>
      </c>
      <c r="L32" s="17">
        <v>4</v>
      </c>
      <c r="M32" s="15" t="s">
        <v>498</v>
      </c>
      <c r="N32" s="20"/>
      <c r="O32" s="19" t="s">
        <v>465</v>
      </c>
      <c r="P32" s="19"/>
    </row>
    <row r="33" spans="1:16">
      <c r="A33" s="120"/>
      <c r="B33" s="6">
        <f t="shared" si="0"/>
        <v>32</v>
      </c>
      <c r="C33" s="6"/>
      <c r="D33" s="7" t="s">
        <v>499</v>
      </c>
      <c r="E33" s="8" t="s">
        <v>44</v>
      </c>
      <c r="F33" s="9" t="s">
        <v>45</v>
      </c>
      <c r="G33" s="8" t="s">
        <v>46</v>
      </c>
      <c r="H33" s="9" t="s">
        <v>45</v>
      </c>
      <c r="I33" s="9" t="s">
        <v>45</v>
      </c>
      <c r="J33" s="9">
        <v>0</v>
      </c>
      <c r="K33" s="9" t="s">
        <v>45</v>
      </c>
      <c r="L33" s="17">
        <v>4</v>
      </c>
      <c r="M33" s="15" t="s">
        <v>500</v>
      </c>
      <c r="N33" s="20"/>
      <c r="O33" s="19" t="s">
        <v>465</v>
      </c>
      <c r="P33" s="19"/>
    </row>
    <row r="34" spans="1:16">
      <c r="A34" s="120"/>
      <c r="B34" s="6">
        <f t="shared" si="0"/>
        <v>33</v>
      </c>
      <c r="C34" s="6"/>
      <c r="D34" s="7" t="s">
        <v>501</v>
      </c>
      <c r="E34" s="8" t="s">
        <v>44</v>
      </c>
      <c r="F34" s="9" t="s">
        <v>45</v>
      </c>
      <c r="G34" s="8" t="s">
        <v>46</v>
      </c>
      <c r="H34" s="9" t="s">
        <v>45</v>
      </c>
      <c r="I34" s="9" t="s">
        <v>45</v>
      </c>
      <c r="J34" s="9">
        <v>0</v>
      </c>
      <c r="K34" s="9" t="s">
        <v>45</v>
      </c>
      <c r="L34" s="17">
        <v>4</v>
      </c>
      <c r="M34" s="15" t="s">
        <v>502</v>
      </c>
      <c r="N34" s="20"/>
      <c r="O34" s="19" t="s">
        <v>465</v>
      </c>
      <c r="P34" s="19"/>
    </row>
    <row r="35" spans="1:16">
      <c r="A35" s="120"/>
      <c r="B35" s="6">
        <f t="shared" si="0"/>
        <v>34</v>
      </c>
      <c r="C35" s="6"/>
      <c r="D35" s="7" t="s">
        <v>503</v>
      </c>
      <c r="E35" s="8" t="s">
        <v>44</v>
      </c>
      <c r="F35" s="9" t="s">
        <v>45</v>
      </c>
      <c r="G35" s="8" t="s">
        <v>46</v>
      </c>
      <c r="H35" s="9" t="s">
        <v>45</v>
      </c>
      <c r="I35" s="9" t="s">
        <v>45</v>
      </c>
      <c r="J35" s="9">
        <v>0</v>
      </c>
      <c r="K35" s="9" t="s">
        <v>45</v>
      </c>
      <c r="L35" s="17">
        <v>4</v>
      </c>
      <c r="M35" s="15" t="s">
        <v>504</v>
      </c>
      <c r="N35" s="20"/>
      <c r="O35" s="19" t="s">
        <v>465</v>
      </c>
      <c r="P35" s="19"/>
    </row>
    <row r="36" spans="1:16">
      <c r="A36" s="120"/>
      <c r="B36" s="6">
        <f t="shared" si="0"/>
        <v>35</v>
      </c>
      <c r="C36" s="6"/>
      <c r="D36" s="7" t="s">
        <v>505</v>
      </c>
      <c r="E36" s="8" t="s">
        <v>44</v>
      </c>
      <c r="F36" s="9" t="s">
        <v>45</v>
      </c>
      <c r="G36" s="8" t="s">
        <v>46</v>
      </c>
      <c r="H36" s="9" t="s">
        <v>45</v>
      </c>
      <c r="I36" s="9" t="s">
        <v>45</v>
      </c>
      <c r="J36" s="9">
        <v>0</v>
      </c>
      <c r="K36" s="9" t="s">
        <v>45</v>
      </c>
      <c r="L36" s="17">
        <v>4</v>
      </c>
      <c r="M36" s="15" t="s">
        <v>506</v>
      </c>
      <c r="N36" s="20"/>
      <c r="O36" s="19" t="s">
        <v>465</v>
      </c>
      <c r="P36" s="19"/>
    </row>
    <row r="37" spans="1:16">
      <c r="A37" s="120"/>
      <c r="B37" s="6">
        <f t="shared" si="0"/>
        <v>36</v>
      </c>
      <c r="C37" s="6"/>
      <c r="D37" s="7" t="s">
        <v>507</v>
      </c>
      <c r="E37" s="8" t="s">
        <v>44</v>
      </c>
      <c r="F37" s="9" t="s">
        <v>45</v>
      </c>
      <c r="G37" s="8" t="s">
        <v>46</v>
      </c>
      <c r="H37" s="9" t="s">
        <v>45</v>
      </c>
      <c r="I37" s="9" t="s">
        <v>45</v>
      </c>
      <c r="J37" s="9">
        <v>0</v>
      </c>
      <c r="K37" s="9" t="s">
        <v>45</v>
      </c>
      <c r="L37" s="17">
        <v>4</v>
      </c>
      <c r="M37" s="15" t="s">
        <v>508</v>
      </c>
      <c r="N37" s="20"/>
      <c r="O37" s="19" t="s">
        <v>465</v>
      </c>
      <c r="P37" s="19"/>
    </row>
    <row r="38" spans="1:16">
      <c r="A38" s="120"/>
      <c r="B38" s="6">
        <f t="shared" si="0"/>
        <v>37</v>
      </c>
      <c r="C38" s="6"/>
      <c r="D38" s="7" t="s">
        <v>509</v>
      </c>
      <c r="E38" s="8" t="s">
        <v>44</v>
      </c>
      <c r="F38" s="9" t="s">
        <v>45</v>
      </c>
      <c r="G38" s="8" t="s">
        <v>46</v>
      </c>
      <c r="H38" s="9" t="s">
        <v>45</v>
      </c>
      <c r="I38" s="9" t="s">
        <v>45</v>
      </c>
      <c r="J38" s="9">
        <v>0</v>
      </c>
      <c r="K38" s="9" t="s">
        <v>45</v>
      </c>
      <c r="L38" s="17">
        <v>4</v>
      </c>
      <c r="M38" s="15" t="s">
        <v>510</v>
      </c>
      <c r="N38" s="20"/>
      <c r="O38" s="19" t="s">
        <v>465</v>
      </c>
      <c r="P38" s="19"/>
    </row>
    <row r="39" spans="1:16">
      <c r="A39" s="120"/>
      <c r="B39" s="6">
        <f t="shared" si="0"/>
        <v>38</v>
      </c>
      <c r="C39" s="6"/>
      <c r="D39" s="7" t="s">
        <v>511</v>
      </c>
      <c r="E39" s="8" t="s">
        <v>44</v>
      </c>
      <c r="F39" s="9" t="s">
        <v>45</v>
      </c>
      <c r="G39" s="8" t="s">
        <v>46</v>
      </c>
      <c r="H39" s="9" t="s">
        <v>45</v>
      </c>
      <c r="I39" s="9" t="s">
        <v>45</v>
      </c>
      <c r="J39" s="9">
        <v>0</v>
      </c>
      <c r="K39" s="9" t="s">
        <v>45</v>
      </c>
      <c r="L39" s="17">
        <v>4</v>
      </c>
      <c r="M39" s="15" t="s">
        <v>512</v>
      </c>
      <c r="N39" s="20"/>
      <c r="O39" s="19" t="s">
        <v>465</v>
      </c>
      <c r="P39" s="19"/>
    </row>
    <row r="40" spans="1:16">
      <c r="A40" s="120"/>
      <c r="B40" s="6">
        <f t="shared" si="0"/>
        <v>39</v>
      </c>
      <c r="C40" s="6"/>
      <c r="D40" s="7" t="s">
        <v>513</v>
      </c>
      <c r="E40" s="8" t="s">
        <v>44</v>
      </c>
      <c r="F40" s="9" t="s">
        <v>45</v>
      </c>
      <c r="G40" s="8" t="s">
        <v>46</v>
      </c>
      <c r="H40" s="9" t="s">
        <v>45</v>
      </c>
      <c r="I40" s="9" t="s">
        <v>45</v>
      </c>
      <c r="J40" s="9">
        <v>0</v>
      </c>
      <c r="K40" s="9" t="s">
        <v>45</v>
      </c>
      <c r="L40" s="17">
        <v>4</v>
      </c>
      <c r="M40" s="15" t="s">
        <v>514</v>
      </c>
      <c r="N40" s="20"/>
      <c r="O40" s="19" t="s">
        <v>465</v>
      </c>
      <c r="P40" s="19"/>
    </row>
    <row r="41" spans="1:16">
      <c r="A41" s="120"/>
      <c r="B41" s="6">
        <f t="shared" si="0"/>
        <v>40</v>
      </c>
      <c r="C41" s="6"/>
      <c r="D41" s="7" t="s">
        <v>515</v>
      </c>
      <c r="E41" s="8" t="s">
        <v>44</v>
      </c>
      <c r="F41" s="9" t="s">
        <v>45</v>
      </c>
      <c r="G41" s="8" t="s">
        <v>46</v>
      </c>
      <c r="H41" s="9" t="s">
        <v>45</v>
      </c>
      <c r="I41" s="9" t="s">
        <v>45</v>
      </c>
      <c r="J41" s="9">
        <v>0</v>
      </c>
      <c r="K41" s="9" t="s">
        <v>45</v>
      </c>
      <c r="L41" s="17">
        <v>4</v>
      </c>
      <c r="M41" s="15" t="s">
        <v>516</v>
      </c>
      <c r="N41" s="20"/>
      <c r="O41" s="19" t="s">
        <v>465</v>
      </c>
      <c r="P41" s="19"/>
    </row>
    <row r="42" spans="1:16">
      <c r="A42" s="120"/>
      <c r="B42" s="6">
        <f t="shared" si="0"/>
        <v>41</v>
      </c>
      <c r="C42" s="11"/>
      <c r="D42" s="12" t="s">
        <v>517</v>
      </c>
      <c r="E42" s="13" t="s">
        <v>44</v>
      </c>
      <c r="F42" s="14" t="s">
        <v>45</v>
      </c>
      <c r="G42" s="13" t="s">
        <v>46</v>
      </c>
      <c r="H42" s="14" t="s">
        <v>45</v>
      </c>
      <c r="I42" s="14" t="s">
        <v>45</v>
      </c>
      <c r="J42" s="14">
        <v>0</v>
      </c>
      <c r="K42" s="14" t="s">
        <v>45</v>
      </c>
      <c r="L42" s="21">
        <v>4</v>
      </c>
      <c r="M42" s="22" t="s">
        <v>517</v>
      </c>
      <c r="N42" s="20"/>
      <c r="O42" s="19" t="s">
        <v>465</v>
      </c>
      <c r="P42" s="19"/>
    </row>
    <row r="43" spans="1:16">
      <c r="A43" s="120"/>
      <c r="B43" s="6">
        <f t="shared" si="0"/>
        <v>42</v>
      </c>
      <c r="C43" s="6"/>
      <c r="D43" s="7" t="s">
        <v>518</v>
      </c>
      <c r="E43" s="8" t="s">
        <v>44</v>
      </c>
      <c r="F43" s="9" t="s">
        <v>45</v>
      </c>
      <c r="G43" s="8" t="s">
        <v>46</v>
      </c>
      <c r="H43" s="9" t="s">
        <v>45</v>
      </c>
      <c r="I43" s="9" t="s">
        <v>45</v>
      </c>
      <c r="J43" s="9" t="s">
        <v>519</v>
      </c>
      <c r="K43" s="9" t="s">
        <v>45</v>
      </c>
      <c r="L43" s="17">
        <v>4</v>
      </c>
      <c r="M43" s="15"/>
      <c r="N43" s="20"/>
      <c r="O43" s="19" t="s">
        <v>465</v>
      </c>
      <c r="P43" s="19"/>
    </row>
    <row r="44" spans="1:16">
      <c r="A44" s="120"/>
      <c r="B44" s="6">
        <f t="shared" si="0"/>
        <v>43</v>
      </c>
      <c r="C44" s="6"/>
      <c r="D44" s="7" t="s">
        <v>520</v>
      </c>
      <c r="E44" s="8" t="s">
        <v>44</v>
      </c>
      <c r="F44" s="9" t="s">
        <v>45</v>
      </c>
      <c r="G44" s="8" t="s">
        <v>46</v>
      </c>
      <c r="H44" s="9" t="s">
        <v>45</v>
      </c>
      <c r="I44" s="9" t="s">
        <v>45</v>
      </c>
      <c r="J44" s="9" t="s">
        <v>519</v>
      </c>
      <c r="K44" s="9" t="s">
        <v>45</v>
      </c>
      <c r="L44" s="17">
        <v>4</v>
      </c>
      <c r="M44" s="15"/>
      <c r="N44" s="20"/>
      <c r="O44" s="19" t="s">
        <v>465</v>
      </c>
      <c r="P44" s="19"/>
    </row>
    <row r="45" spans="1:16">
      <c r="A45" s="120"/>
      <c r="B45" s="6">
        <f t="shared" si="0"/>
        <v>44</v>
      </c>
      <c r="C45" s="6"/>
      <c r="D45" s="7" t="s">
        <v>187</v>
      </c>
      <c r="E45" s="8" t="s">
        <v>44</v>
      </c>
      <c r="F45" s="9" t="s">
        <v>45</v>
      </c>
      <c r="G45" s="8" t="s">
        <v>46</v>
      </c>
      <c r="H45" s="9" t="s">
        <v>45</v>
      </c>
      <c r="I45" s="9" t="s">
        <v>45</v>
      </c>
      <c r="J45" s="9"/>
      <c r="K45" s="9"/>
      <c r="L45" s="17">
        <v>6</v>
      </c>
      <c r="M45" s="15"/>
      <c r="N45" s="20"/>
      <c r="O45" s="19" t="s">
        <v>465</v>
      </c>
      <c r="P45" s="19"/>
    </row>
    <row r="46" spans="1:16">
      <c r="A46" s="120"/>
      <c r="B46" s="6">
        <f t="shared" si="0"/>
        <v>45</v>
      </c>
      <c r="C46" s="6"/>
      <c r="D46" s="7" t="s">
        <v>521</v>
      </c>
      <c r="E46" s="8" t="s">
        <v>44</v>
      </c>
      <c r="F46" s="9" t="s">
        <v>45</v>
      </c>
      <c r="G46" s="8" t="s">
        <v>46</v>
      </c>
      <c r="H46" s="9" t="s">
        <v>45</v>
      </c>
      <c r="I46" s="9" t="s">
        <v>45</v>
      </c>
      <c r="J46" s="9">
        <v>1</v>
      </c>
      <c r="K46" s="9" t="s">
        <v>45</v>
      </c>
      <c r="L46" s="17">
        <v>1</v>
      </c>
      <c r="M46" s="15"/>
      <c r="N46" s="20"/>
      <c r="O46" s="19" t="s">
        <v>465</v>
      </c>
      <c r="P46" s="19"/>
    </row>
    <row r="47" spans="1:16">
      <c r="A47" s="120"/>
      <c r="B47" s="6">
        <f t="shared" si="0"/>
        <v>46</v>
      </c>
      <c r="C47" s="6"/>
      <c r="D47" s="7" t="s">
        <v>522</v>
      </c>
      <c r="E47" s="8" t="s">
        <v>44</v>
      </c>
      <c r="F47" s="9" t="s">
        <v>45</v>
      </c>
      <c r="G47" s="8" t="s">
        <v>46</v>
      </c>
      <c r="H47" s="9" t="s">
        <v>45</v>
      </c>
      <c r="I47" s="9" t="s">
        <v>45</v>
      </c>
      <c r="J47" s="9">
        <v>1</v>
      </c>
      <c r="K47" s="9" t="s">
        <v>45</v>
      </c>
      <c r="L47" s="17">
        <v>1</v>
      </c>
      <c r="M47" s="15"/>
      <c r="N47" s="20"/>
      <c r="O47" s="19" t="s">
        <v>465</v>
      </c>
      <c r="P47" s="19"/>
    </row>
    <row r="48" spans="1:16">
      <c r="A48" s="120"/>
      <c r="B48" s="6">
        <f t="shared" si="0"/>
        <v>47</v>
      </c>
      <c r="C48" s="6"/>
      <c r="D48" s="7" t="s">
        <v>523</v>
      </c>
      <c r="E48" s="8" t="s">
        <v>44</v>
      </c>
      <c r="F48" s="9" t="s">
        <v>45</v>
      </c>
      <c r="G48" s="8" t="s">
        <v>46</v>
      </c>
      <c r="H48" s="9" t="s">
        <v>45</v>
      </c>
      <c r="I48" s="9" t="s">
        <v>45</v>
      </c>
      <c r="J48" s="9">
        <v>1</v>
      </c>
      <c r="K48" s="9" t="s">
        <v>45</v>
      </c>
      <c r="L48" s="17">
        <v>1</v>
      </c>
      <c r="M48" s="15"/>
      <c r="N48" s="20"/>
      <c r="O48" s="19" t="s">
        <v>465</v>
      </c>
      <c r="P48" s="19"/>
    </row>
    <row r="49" spans="1:16">
      <c r="A49" s="120"/>
      <c r="B49" s="6">
        <f t="shared" si="0"/>
        <v>48</v>
      </c>
      <c r="C49" s="6"/>
      <c r="D49" s="7" t="s">
        <v>524</v>
      </c>
      <c r="E49" s="8" t="s">
        <v>44</v>
      </c>
      <c r="F49" s="9" t="s">
        <v>45</v>
      </c>
      <c r="G49" s="8" t="s">
        <v>46</v>
      </c>
      <c r="H49" s="9" t="s">
        <v>45</v>
      </c>
      <c r="I49" s="9" t="s">
        <v>45</v>
      </c>
      <c r="J49" s="9">
        <v>1</v>
      </c>
      <c r="K49" s="9" t="s">
        <v>45</v>
      </c>
      <c r="L49" s="17">
        <v>1</v>
      </c>
      <c r="M49" s="15"/>
      <c r="N49" s="20"/>
      <c r="O49" s="19" t="s">
        <v>465</v>
      </c>
      <c r="P49" s="19"/>
    </row>
    <row r="50" spans="1:16">
      <c r="A50" s="120"/>
      <c r="B50" s="6">
        <f t="shared" si="0"/>
        <v>49</v>
      </c>
      <c r="C50" s="6"/>
      <c r="D50" s="7" t="s">
        <v>525</v>
      </c>
      <c r="E50" s="8" t="s">
        <v>44</v>
      </c>
      <c r="F50" s="9" t="s">
        <v>45</v>
      </c>
      <c r="G50" s="8" t="s">
        <v>46</v>
      </c>
      <c r="H50" s="9" t="s">
        <v>45</v>
      </c>
      <c r="I50" s="9" t="s">
        <v>45</v>
      </c>
      <c r="J50" s="9">
        <v>1</v>
      </c>
      <c r="K50" s="9" t="s">
        <v>45</v>
      </c>
      <c r="L50" s="17">
        <v>1</v>
      </c>
      <c r="M50" s="15"/>
      <c r="N50" s="20"/>
      <c r="O50" s="19" t="s">
        <v>465</v>
      </c>
      <c r="P50" s="19"/>
    </row>
    <row r="51" spans="1:16">
      <c r="A51" s="120"/>
      <c r="B51" s="6">
        <f t="shared" si="0"/>
        <v>50</v>
      </c>
      <c r="C51" s="6"/>
      <c r="D51" s="7" t="s">
        <v>526</v>
      </c>
      <c r="E51" s="8" t="s">
        <v>44</v>
      </c>
      <c r="F51" s="9" t="s">
        <v>45</v>
      </c>
      <c r="G51" s="8" t="s">
        <v>46</v>
      </c>
      <c r="H51" s="9" t="s">
        <v>45</v>
      </c>
      <c r="I51" s="9" t="s">
        <v>45</v>
      </c>
      <c r="J51" s="9">
        <v>1</v>
      </c>
      <c r="K51" s="9" t="s">
        <v>45</v>
      </c>
      <c r="L51" s="17">
        <v>1</v>
      </c>
      <c r="M51" s="15"/>
      <c r="N51" s="20"/>
      <c r="O51" s="19" t="s">
        <v>465</v>
      </c>
      <c r="P51" s="19"/>
    </row>
    <row r="52" spans="1:16">
      <c r="A52" s="120"/>
      <c r="B52" s="6">
        <f t="shared" si="0"/>
        <v>51</v>
      </c>
      <c r="C52" s="6"/>
      <c r="D52" s="7" t="s">
        <v>527</v>
      </c>
      <c r="E52" s="8" t="s">
        <v>44</v>
      </c>
      <c r="F52" s="9" t="s">
        <v>45</v>
      </c>
      <c r="G52" s="8" t="s">
        <v>46</v>
      </c>
      <c r="H52" s="9" t="s">
        <v>45</v>
      </c>
      <c r="I52" s="9" t="s">
        <v>45</v>
      </c>
      <c r="J52" s="9">
        <v>1</v>
      </c>
      <c r="K52" s="9" t="s">
        <v>45</v>
      </c>
      <c r="L52" s="17">
        <v>1</v>
      </c>
      <c r="M52" s="15"/>
      <c r="N52" s="20"/>
      <c r="O52" s="19" t="s">
        <v>465</v>
      </c>
      <c r="P52" s="19"/>
    </row>
    <row r="53" spans="1:16">
      <c r="A53" s="120"/>
      <c r="B53" s="6">
        <f t="shared" si="0"/>
        <v>52</v>
      </c>
      <c r="C53" s="6"/>
      <c r="D53" s="7" t="s">
        <v>528</v>
      </c>
      <c r="E53" s="8" t="s">
        <v>44</v>
      </c>
      <c r="F53" s="9" t="s">
        <v>45</v>
      </c>
      <c r="G53" s="8" t="s">
        <v>46</v>
      </c>
      <c r="H53" s="9" t="s">
        <v>45</v>
      </c>
      <c r="I53" s="9" t="s">
        <v>45</v>
      </c>
      <c r="J53" s="9">
        <v>1</v>
      </c>
      <c r="K53" s="9" t="s">
        <v>45</v>
      </c>
      <c r="L53" s="17">
        <v>1</v>
      </c>
      <c r="M53" s="15"/>
      <c r="N53" s="20"/>
      <c r="O53" s="19" t="s">
        <v>465</v>
      </c>
      <c r="P53" s="19"/>
    </row>
    <row r="54" spans="1:16">
      <c r="A54" s="120"/>
      <c r="B54" s="6">
        <f t="shared" si="0"/>
        <v>53</v>
      </c>
      <c r="C54" s="6"/>
      <c r="D54" s="7" t="s">
        <v>529</v>
      </c>
      <c r="E54" s="8" t="s">
        <v>44</v>
      </c>
      <c r="F54" s="9" t="s">
        <v>45</v>
      </c>
      <c r="G54" s="8" t="s">
        <v>46</v>
      </c>
      <c r="H54" s="9" t="s">
        <v>45</v>
      </c>
      <c r="I54" s="9" t="s">
        <v>45</v>
      </c>
      <c r="J54" s="9">
        <v>1</v>
      </c>
      <c r="K54" s="9" t="s">
        <v>45</v>
      </c>
      <c r="L54" s="17">
        <v>1</v>
      </c>
      <c r="M54" s="15"/>
      <c r="N54" s="20"/>
      <c r="O54" s="19" t="s">
        <v>465</v>
      </c>
      <c r="P54" s="19"/>
    </row>
    <row r="55" spans="1:16">
      <c r="A55" s="120"/>
      <c r="B55" s="6">
        <f t="shared" si="0"/>
        <v>54</v>
      </c>
      <c r="C55" s="6"/>
      <c r="D55" s="7" t="s">
        <v>530</v>
      </c>
      <c r="E55" s="8" t="s">
        <v>44</v>
      </c>
      <c r="F55" s="9" t="s">
        <v>45</v>
      </c>
      <c r="G55" s="8" t="s">
        <v>46</v>
      </c>
      <c r="H55" s="9" t="s">
        <v>45</v>
      </c>
      <c r="I55" s="9" t="s">
        <v>45</v>
      </c>
      <c r="J55" s="9">
        <v>1</v>
      </c>
      <c r="K55" s="9" t="s">
        <v>45</v>
      </c>
      <c r="L55" s="17">
        <v>1</v>
      </c>
      <c r="M55" s="15"/>
      <c r="N55" s="20"/>
      <c r="O55" s="19" t="s">
        <v>465</v>
      </c>
      <c r="P55" s="19"/>
    </row>
    <row r="56" spans="1:16">
      <c r="A56" s="120"/>
      <c r="B56" s="6">
        <f t="shared" si="0"/>
        <v>55</v>
      </c>
      <c r="C56" s="6"/>
      <c r="D56" s="7" t="s">
        <v>531</v>
      </c>
      <c r="E56" s="8" t="s">
        <v>44</v>
      </c>
      <c r="F56" s="9" t="s">
        <v>45</v>
      </c>
      <c r="G56" s="8" t="s">
        <v>46</v>
      </c>
      <c r="H56" s="9" t="s">
        <v>45</v>
      </c>
      <c r="I56" s="9" t="s">
        <v>45</v>
      </c>
      <c r="J56" s="9">
        <v>0</v>
      </c>
      <c r="K56" s="9" t="s">
        <v>45</v>
      </c>
      <c r="L56" s="17">
        <v>8</v>
      </c>
      <c r="M56" s="15" t="s">
        <v>532</v>
      </c>
      <c r="N56" s="20"/>
      <c r="O56" s="19" t="s">
        <v>465</v>
      </c>
      <c r="P56" s="19"/>
    </row>
    <row r="57" spans="1:16">
      <c r="A57" s="120"/>
      <c r="B57" s="6">
        <f t="shared" si="0"/>
        <v>56</v>
      </c>
      <c r="C57" s="6"/>
      <c r="D57" s="7" t="s">
        <v>533</v>
      </c>
      <c r="E57" s="8" t="s">
        <v>44</v>
      </c>
      <c r="F57" s="9" t="s">
        <v>45</v>
      </c>
      <c r="G57" s="8" t="s">
        <v>46</v>
      </c>
      <c r="H57" s="9" t="s">
        <v>45</v>
      </c>
      <c r="I57" s="9" t="s">
        <v>45</v>
      </c>
      <c r="J57" s="9">
        <v>0</v>
      </c>
      <c r="K57" s="9" t="s">
        <v>45</v>
      </c>
      <c r="L57" s="17">
        <v>8</v>
      </c>
      <c r="M57" s="15" t="s">
        <v>532</v>
      </c>
      <c r="N57" s="20"/>
      <c r="O57" s="19" t="s">
        <v>465</v>
      </c>
      <c r="P57" s="19"/>
    </row>
    <row r="58" spans="1:16">
      <c r="A58" s="120"/>
      <c r="B58" s="6">
        <f t="shared" si="0"/>
        <v>57</v>
      </c>
      <c r="C58" s="6"/>
      <c r="D58" s="7" t="s">
        <v>534</v>
      </c>
      <c r="E58" s="8" t="s">
        <v>44</v>
      </c>
      <c r="F58" s="9" t="s">
        <v>45</v>
      </c>
      <c r="G58" s="8" t="s">
        <v>46</v>
      </c>
      <c r="H58" s="9" t="s">
        <v>45</v>
      </c>
      <c r="I58" s="9" t="s">
        <v>45</v>
      </c>
      <c r="J58" s="9">
        <v>0</v>
      </c>
      <c r="K58" s="9" t="s">
        <v>45</v>
      </c>
      <c r="L58" s="17">
        <v>8</v>
      </c>
      <c r="M58" s="15" t="s">
        <v>532</v>
      </c>
      <c r="N58" s="20"/>
      <c r="O58" s="19" t="s">
        <v>465</v>
      </c>
      <c r="P58" s="19"/>
    </row>
    <row r="59" spans="1:16">
      <c r="A59" s="120"/>
      <c r="B59" s="6">
        <f t="shared" si="0"/>
        <v>58</v>
      </c>
      <c r="C59" s="6"/>
      <c r="D59" s="7" t="s">
        <v>535</v>
      </c>
      <c r="E59" s="8" t="s">
        <v>44</v>
      </c>
      <c r="F59" s="9" t="s">
        <v>45</v>
      </c>
      <c r="G59" s="8" t="s">
        <v>46</v>
      </c>
      <c r="H59" s="9" t="s">
        <v>45</v>
      </c>
      <c r="I59" s="9" t="s">
        <v>45</v>
      </c>
      <c r="J59" s="9">
        <v>0</v>
      </c>
      <c r="K59" s="9" t="s">
        <v>45</v>
      </c>
      <c r="L59" s="17">
        <v>8</v>
      </c>
      <c r="M59" s="15" t="s">
        <v>532</v>
      </c>
      <c r="N59" s="20"/>
      <c r="O59" s="19" t="s">
        <v>465</v>
      </c>
      <c r="P59" s="19"/>
    </row>
    <row r="60" spans="1:16" ht="24">
      <c r="A60" s="10"/>
      <c r="B60" s="6">
        <f t="shared" si="0"/>
        <v>59</v>
      </c>
      <c r="C60" s="6"/>
      <c r="D60" s="15" t="s">
        <v>536</v>
      </c>
      <c r="E60" s="8" t="s">
        <v>44</v>
      </c>
      <c r="F60" s="9" t="s">
        <v>45</v>
      </c>
      <c r="G60" s="8" t="s">
        <v>46</v>
      </c>
      <c r="H60" s="9" t="s">
        <v>45</v>
      </c>
      <c r="I60" s="9" t="s">
        <v>45</v>
      </c>
      <c r="J60" s="9">
        <v>0</v>
      </c>
      <c r="K60" s="9" t="s">
        <v>45</v>
      </c>
      <c r="L60" s="17">
        <v>4</v>
      </c>
      <c r="M60" s="15" t="s">
        <v>537</v>
      </c>
      <c r="N60" s="18"/>
      <c r="O60" s="18" t="s">
        <v>174</v>
      </c>
      <c r="P60" s="19"/>
    </row>
    <row r="61" spans="1:16">
      <c r="A61" s="10"/>
      <c r="B61" s="6">
        <f t="shared" si="0"/>
        <v>60</v>
      </c>
      <c r="C61" s="6"/>
      <c r="D61" s="15" t="s">
        <v>538</v>
      </c>
      <c r="E61" s="8" t="s">
        <v>44</v>
      </c>
      <c r="F61" s="9" t="s">
        <v>45</v>
      </c>
      <c r="G61" s="8" t="s">
        <v>46</v>
      </c>
      <c r="H61" s="9" t="s">
        <v>45</v>
      </c>
      <c r="I61" s="9" t="s">
        <v>45</v>
      </c>
      <c r="J61" s="9">
        <v>0</v>
      </c>
      <c r="K61" s="9" t="s">
        <v>45</v>
      </c>
      <c r="L61" s="17">
        <v>4</v>
      </c>
      <c r="M61" s="15" t="s">
        <v>539</v>
      </c>
      <c r="N61" s="18"/>
      <c r="O61" s="18"/>
      <c r="P61" s="19"/>
    </row>
    <row r="62" spans="1:16">
      <c r="A62" s="10"/>
      <c r="B62" s="6">
        <f t="shared" si="0"/>
        <v>61</v>
      </c>
      <c r="C62" s="6"/>
      <c r="D62" s="15" t="s">
        <v>540</v>
      </c>
      <c r="E62" s="8" t="s">
        <v>44</v>
      </c>
      <c r="F62" s="9" t="s">
        <v>45</v>
      </c>
      <c r="G62" s="8" t="s">
        <v>46</v>
      </c>
      <c r="H62" s="9" t="s">
        <v>45</v>
      </c>
      <c r="I62" s="9" t="s">
        <v>45</v>
      </c>
      <c r="J62" s="9">
        <v>0</v>
      </c>
      <c r="K62" s="9" t="s">
        <v>45</v>
      </c>
      <c r="L62" s="17">
        <v>8</v>
      </c>
      <c r="M62" s="23" t="s">
        <v>541</v>
      </c>
      <c r="N62" s="18"/>
      <c r="O62" s="18" t="s">
        <v>174</v>
      </c>
      <c r="P62" s="19"/>
    </row>
    <row r="63" spans="1:16">
      <c r="A63" s="10"/>
      <c r="B63" s="6">
        <f t="shared" si="0"/>
        <v>62</v>
      </c>
      <c r="C63" s="6"/>
      <c r="D63" s="15" t="s">
        <v>542</v>
      </c>
      <c r="E63" s="8" t="s">
        <v>44</v>
      </c>
      <c r="F63" s="9" t="s">
        <v>45</v>
      </c>
      <c r="G63" s="8" t="s">
        <v>46</v>
      </c>
      <c r="H63" s="9" t="s">
        <v>45</v>
      </c>
      <c r="I63" s="9" t="s">
        <v>45</v>
      </c>
      <c r="J63" s="9">
        <v>0</v>
      </c>
      <c r="K63" s="9" t="s">
        <v>45</v>
      </c>
      <c r="L63" s="17">
        <v>8</v>
      </c>
      <c r="M63" s="23" t="s">
        <v>543</v>
      </c>
      <c r="N63" s="18"/>
      <c r="O63" s="18" t="s">
        <v>174</v>
      </c>
      <c r="P63" s="19"/>
    </row>
    <row r="64" spans="1:16">
      <c r="A64" s="10"/>
      <c r="B64" s="6">
        <f t="shared" si="0"/>
        <v>63</v>
      </c>
      <c r="C64" s="6"/>
      <c r="D64" s="15" t="s">
        <v>544</v>
      </c>
      <c r="E64" s="8" t="s">
        <v>44</v>
      </c>
      <c r="F64" s="9" t="s">
        <v>45</v>
      </c>
      <c r="G64" s="8" t="s">
        <v>46</v>
      </c>
      <c r="H64" s="9" t="s">
        <v>45</v>
      </c>
      <c r="I64" s="9" t="s">
        <v>45</v>
      </c>
      <c r="J64" s="9">
        <v>0</v>
      </c>
      <c r="K64" s="9" t="s">
        <v>45</v>
      </c>
      <c r="L64" s="17">
        <v>8</v>
      </c>
      <c r="M64" s="23" t="s">
        <v>545</v>
      </c>
      <c r="N64" s="18"/>
      <c r="O64" s="18" t="s">
        <v>174</v>
      </c>
      <c r="P64" s="19"/>
    </row>
    <row r="65" spans="1:16">
      <c r="A65" s="10"/>
      <c r="B65" s="6">
        <f t="shared" si="0"/>
        <v>64</v>
      </c>
      <c r="C65" s="6"/>
      <c r="D65" s="15" t="s">
        <v>546</v>
      </c>
      <c r="E65" s="8" t="s">
        <v>44</v>
      </c>
      <c r="F65" s="9" t="s">
        <v>45</v>
      </c>
      <c r="G65" s="8" t="s">
        <v>46</v>
      </c>
      <c r="H65" s="9" t="s">
        <v>45</v>
      </c>
      <c r="I65" s="9" t="s">
        <v>45</v>
      </c>
      <c r="J65" s="9">
        <v>0</v>
      </c>
      <c r="K65" s="9" t="s">
        <v>45</v>
      </c>
      <c r="L65" s="17">
        <v>8</v>
      </c>
      <c r="M65" s="15" t="s">
        <v>547</v>
      </c>
      <c r="N65" s="18"/>
      <c r="O65" s="18" t="s">
        <v>174</v>
      </c>
      <c r="P65" s="19"/>
    </row>
    <row r="66" spans="1:16" ht="24">
      <c r="A66" s="10"/>
      <c r="B66" s="6">
        <f t="shared" si="0"/>
        <v>65</v>
      </c>
      <c r="C66" s="6"/>
      <c r="D66" s="15" t="s">
        <v>548</v>
      </c>
      <c r="E66" s="8" t="s">
        <v>44</v>
      </c>
      <c r="F66" s="9" t="s">
        <v>45</v>
      </c>
      <c r="G66" s="8" t="s">
        <v>46</v>
      </c>
      <c r="H66" s="9" t="s">
        <v>45</v>
      </c>
      <c r="I66" s="9" t="s">
        <v>45</v>
      </c>
      <c r="J66" s="9">
        <v>0</v>
      </c>
      <c r="K66" s="9" t="s">
        <v>45</v>
      </c>
      <c r="L66" s="17">
        <v>8</v>
      </c>
      <c r="M66" s="15" t="s">
        <v>549</v>
      </c>
      <c r="N66" s="18"/>
      <c r="O66" s="18" t="s">
        <v>174</v>
      </c>
      <c r="P66" s="19"/>
    </row>
    <row r="67" spans="1:16" ht="24">
      <c r="A67" s="10"/>
      <c r="B67" s="6">
        <f t="shared" ref="B67:B118" si="1">ROW(B66)</f>
        <v>66</v>
      </c>
      <c r="C67" s="6"/>
      <c r="D67" s="15" t="s">
        <v>550</v>
      </c>
      <c r="E67" s="8" t="s">
        <v>44</v>
      </c>
      <c r="F67" s="9" t="s">
        <v>45</v>
      </c>
      <c r="G67" s="8" t="s">
        <v>46</v>
      </c>
      <c r="H67" s="9" t="s">
        <v>45</v>
      </c>
      <c r="I67" s="9" t="s">
        <v>45</v>
      </c>
      <c r="J67" s="9">
        <v>0</v>
      </c>
      <c r="K67" s="9" t="s">
        <v>45</v>
      </c>
      <c r="L67" s="17">
        <v>4</v>
      </c>
      <c r="M67" s="15" t="s">
        <v>551</v>
      </c>
      <c r="N67" s="18"/>
      <c r="O67" s="18" t="s">
        <v>174</v>
      </c>
      <c r="P67" s="19"/>
    </row>
    <row r="68" spans="1:16" ht="24">
      <c r="A68" s="10"/>
      <c r="B68" s="6">
        <f t="shared" si="1"/>
        <v>67</v>
      </c>
      <c r="C68" s="6"/>
      <c r="D68" s="15" t="s">
        <v>552</v>
      </c>
      <c r="E68" s="8" t="s">
        <v>44</v>
      </c>
      <c r="F68" s="9" t="s">
        <v>45</v>
      </c>
      <c r="G68" s="8" t="s">
        <v>46</v>
      </c>
      <c r="H68" s="9" t="s">
        <v>45</v>
      </c>
      <c r="I68" s="9" t="s">
        <v>45</v>
      </c>
      <c r="J68" s="9">
        <v>0</v>
      </c>
      <c r="K68" s="9" t="s">
        <v>45</v>
      </c>
      <c r="L68" s="17">
        <v>4</v>
      </c>
      <c r="M68" s="15" t="s">
        <v>553</v>
      </c>
      <c r="N68" s="18"/>
      <c r="O68" s="18"/>
      <c r="P68" s="19"/>
    </row>
    <row r="69" spans="1:16" ht="24">
      <c r="A69" s="10"/>
      <c r="B69" s="6">
        <f t="shared" si="1"/>
        <v>68</v>
      </c>
      <c r="C69" s="6"/>
      <c r="D69" s="15" t="s">
        <v>554</v>
      </c>
      <c r="E69" s="8" t="s">
        <v>44</v>
      </c>
      <c r="F69" s="9" t="s">
        <v>45</v>
      </c>
      <c r="G69" s="8" t="s">
        <v>46</v>
      </c>
      <c r="H69" s="9" t="s">
        <v>45</v>
      </c>
      <c r="I69" s="9" t="s">
        <v>45</v>
      </c>
      <c r="J69" s="9">
        <v>0</v>
      </c>
      <c r="K69" s="9" t="s">
        <v>45</v>
      </c>
      <c r="L69" s="17">
        <v>4</v>
      </c>
      <c r="M69" s="15" t="s">
        <v>555</v>
      </c>
      <c r="N69" s="18"/>
      <c r="O69" s="18" t="s">
        <v>174</v>
      </c>
      <c r="P69" s="19"/>
    </row>
    <row r="70" spans="1:16" ht="24">
      <c r="A70" s="10"/>
      <c r="B70" s="6">
        <f t="shared" si="1"/>
        <v>69</v>
      </c>
      <c r="C70" s="6"/>
      <c r="D70" s="15" t="s">
        <v>556</v>
      </c>
      <c r="E70" s="8" t="s">
        <v>44</v>
      </c>
      <c r="F70" s="9" t="s">
        <v>45</v>
      </c>
      <c r="G70" s="8" t="s">
        <v>46</v>
      </c>
      <c r="H70" s="9" t="s">
        <v>45</v>
      </c>
      <c r="I70" s="9" t="s">
        <v>45</v>
      </c>
      <c r="J70" s="9">
        <v>0</v>
      </c>
      <c r="K70" s="9" t="s">
        <v>45</v>
      </c>
      <c r="L70" s="17">
        <v>4</v>
      </c>
      <c r="M70" s="15" t="s">
        <v>557</v>
      </c>
      <c r="N70" s="18"/>
      <c r="O70" s="18"/>
      <c r="P70" s="19"/>
    </row>
    <row r="71" spans="1:16" ht="24">
      <c r="A71" s="10"/>
      <c r="B71" s="6">
        <f t="shared" si="1"/>
        <v>70</v>
      </c>
      <c r="C71" s="6"/>
      <c r="D71" s="15" t="s">
        <v>558</v>
      </c>
      <c r="E71" s="8" t="s">
        <v>44</v>
      </c>
      <c r="F71" s="9" t="s">
        <v>45</v>
      </c>
      <c r="G71" s="8" t="s">
        <v>46</v>
      </c>
      <c r="H71" s="9" t="s">
        <v>45</v>
      </c>
      <c r="I71" s="9" t="s">
        <v>45</v>
      </c>
      <c r="J71" s="9">
        <v>0</v>
      </c>
      <c r="K71" s="9" t="s">
        <v>45</v>
      </c>
      <c r="L71" s="17">
        <v>4</v>
      </c>
      <c r="M71" s="15" t="s">
        <v>559</v>
      </c>
      <c r="N71" s="18"/>
      <c r="O71" s="18" t="s">
        <v>174</v>
      </c>
      <c r="P71" s="19"/>
    </row>
    <row r="72" spans="1:16" ht="24">
      <c r="A72" s="10"/>
      <c r="B72" s="6">
        <f t="shared" si="1"/>
        <v>71</v>
      </c>
      <c r="C72" s="6"/>
      <c r="D72" s="15" t="s">
        <v>560</v>
      </c>
      <c r="E72" s="8" t="s">
        <v>44</v>
      </c>
      <c r="F72" s="9" t="s">
        <v>45</v>
      </c>
      <c r="G72" s="8" t="s">
        <v>46</v>
      </c>
      <c r="H72" s="9" t="s">
        <v>45</v>
      </c>
      <c r="I72" s="9" t="s">
        <v>45</v>
      </c>
      <c r="J72" s="9">
        <v>0</v>
      </c>
      <c r="K72" s="9" t="s">
        <v>45</v>
      </c>
      <c r="L72" s="17">
        <v>4</v>
      </c>
      <c r="M72" s="15" t="s">
        <v>561</v>
      </c>
      <c r="N72" s="18"/>
      <c r="O72" s="18"/>
      <c r="P72" s="19"/>
    </row>
    <row r="73" spans="1:16" ht="24">
      <c r="A73" s="10"/>
      <c r="B73" s="6">
        <f t="shared" si="1"/>
        <v>72</v>
      </c>
      <c r="C73" s="6"/>
      <c r="D73" s="15" t="s">
        <v>562</v>
      </c>
      <c r="E73" s="8" t="s">
        <v>44</v>
      </c>
      <c r="F73" s="9" t="s">
        <v>45</v>
      </c>
      <c r="G73" s="8" t="s">
        <v>46</v>
      </c>
      <c r="H73" s="9" t="s">
        <v>45</v>
      </c>
      <c r="I73" s="9" t="s">
        <v>45</v>
      </c>
      <c r="J73" s="9">
        <v>0</v>
      </c>
      <c r="K73" s="9" t="s">
        <v>45</v>
      </c>
      <c r="L73" s="17">
        <v>4</v>
      </c>
      <c r="M73" s="15" t="s">
        <v>563</v>
      </c>
      <c r="N73" s="18"/>
      <c r="O73" s="18" t="s">
        <v>174</v>
      </c>
      <c r="P73" s="19"/>
    </row>
    <row r="74" spans="1:16" ht="24.75" customHeight="1">
      <c r="A74" s="10"/>
      <c r="B74" s="6">
        <f t="shared" si="1"/>
        <v>73</v>
      </c>
      <c r="C74" s="6"/>
      <c r="D74" s="15" t="s">
        <v>564</v>
      </c>
      <c r="E74" s="8" t="s">
        <v>44</v>
      </c>
      <c r="F74" s="9" t="s">
        <v>45</v>
      </c>
      <c r="G74" s="8" t="s">
        <v>46</v>
      </c>
      <c r="H74" s="9" t="s">
        <v>45</v>
      </c>
      <c r="I74" s="9" t="s">
        <v>45</v>
      </c>
      <c r="J74" s="9">
        <v>0</v>
      </c>
      <c r="K74" s="9" t="s">
        <v>45</v>
      </c>
      <c r="L74" s="17">
        <v>4</v>
      </c>
      <c r="M74" s="15" t="s">
        <v>565</v>
      </c>
      <c r="N74" s="18"/>
      <c r="O74" s="18"/>
      <c r="P74" s="19"/>
    </row>
    <row r="75" spans="1:16" ht="24">
      <c r="A75" s="10"/>
      <c r="B75" s="6">
        <f t="shared" si="1"/>
        <v>74</v>
      </c>
      <c r="C75" s="6"/>
      <c r="D75" s="15" t="s">
        <v>566</v>
      </c>
      <c r="E75" s="8" t="s">
        <v>44</v>
      </c>
      <c r="F75" s="9" t="s">
        <v>45</v>
      </c>
      <c r="G75" s="8" t="s">
        <v>46</v>
      </c>
      <c r="H75" s="9" t="s">
        <v>45</v>
      </c>
      <c r="I75" s="9" t="s">
        <v>45</v>
      </c>
      <c r="J75" s="9">
        <v>0</v>
      </c>
      <c r="K75" s="9" t="s">
        <v>45</v>
      </c>
      <c r="L75" s="17">
        <v>4</v>
      </c>
      <c r="M75" s="15" t="s">
        <v>567</v>
      </c>
      <c r="N75" s="18"/>
      <c r="O75" s="18" t="s">
        <v>174</v>
      </c>
      <c r="P75" s="19"/>
    </row>
    <row r="76" spans="1:16" ht="24">
      <c r="A76" s="10"/>
      <c r="B76" s="6">
        <f t="shared" si="1"/>
        <v>75</v>
      </c>
      <c r="C76" s="6"/>
      <c r="D76" s="15" t="s">
        <v>568</v>
      </c>
      <c r="E76" s="8" t="s">
        <v>44</v>
      </c>
      <c r="F76" s="9" t="s">
        <v>45</v>
      </c>
      <c r="G76" s="8" t="s">
        <v>46</v>
      </c>
      <c r="H76" s="9" t="s">
        <v>45</v>
      </c>
      <c r="I76" s="9" t="s">
        <v>45</v>
      </c>
      <c r="J76" s="9">
        <v>0</v>
      </c>
      <c r="K76" s="9" t="s">
        <v>45</v>
      </c>
      <c r="L76" s="17">
        <v>4</v>
      </c>
      <c r="M76" s="15" t="s">
        <v>569</v>
      </c>
      <c r="N76" s="18"/>
      <c r="O76" s="18"/>
      <c r="P76" s="19"/>
    </row>
    <row r="77" spans="1:16" ht="24">
      <c r="A77" s="10"/>
      <c r="B77" s="6">
        <f t="shared" si="1"/>
        <v>76</v>
      </c>
      <c r="C77" s="6"/>
      <c r="D77" s="15" t="s">
        <v>570</v>
      </c>
      <c r="E77" s="8" t="s">
        <v>44</v>
      </c>
      <c r="F77" s="9" t="s">
        <v>45</v>
      </c>
      <c r="G77" s="8" t="s">
        <v>46</v>
      </c>
      <c r="H77" s="9" t="s">
        <v>45</v>
      </c>
      <c r="I77" s="9" t="s">
        <v>45</v>
      </c>
      <c r="J77" s="9">
        <v>0</v>
      </c>
      <c r="K77" s="9" t="s">
        <v>45</v>
      </c>
      <c r="L77" s="17">
        <v>4</v>
      </c>
      <c r="M77" s="15" t="s">
        <v>571</v>
      </c>
      <c r="N77" s="18"/>
      <c r="O77" s="18" t="s">
        <v>174</v>
      </c>
      <c r="P77" s="19"/>
    </row>
    <row r="78" spans="1:16" ht="24">
      <c r="A78" s="10"/>
      <c r="B78" s="6">
        <f t="shared" si="1"/>
        <v>77</v>
      </c>
      <c r="C78" s="6"/>
      <c r="D78" s="15" t="s">
        <v>572</v>
      </c>
      <c r="E78" s="8" t="s">
        <v>44</v>
      </c>
      <c r="F78" s="9" t="s">
        <v>45</v>
      </c>
      <c r="G78" s="8" t="s">
        <v>46</v>
      </c>
      <c r="H78" s="9" t="s">
        <v>45</v>
      </c>
      <c r="I78" s="9" t="s">
        <v>45</v>
      </c>
      <c r="J78" s="9">
        <v>0</v>
      </c>
      <c r="K78" s="9" t="s">
        <v>45</v>
      </c>
      <c r="L78" s="17">
        <v>4</v>
      </c>
      <c r="M78" s="15" t="s">
        <v>573</v>
      </c>
      <c r="N78" s="18"/>
      <c r="O78" s="18"/>
      <c r="P78" s="19"/>
    </row>
    <row r="79" spans="1:16" ht="24">
      <c r="A79" s="10"/>
      <c r="B79" s="6">
        <f t="shared" si="1"/>
        <v>78</v>
      </c>
      <c r="C79" s="6"/>
      <c r="D79" s="15" t="s">
        <v>574</v>
      </c>
      <c r="E79" s="8" t="s">
        <v>44</v>
      </c>
      <c r="F79" s="9" t="s">
        <v>45</v>
      </c>
      <c r="G79" s="8" t="s">
        <v>46</v>
      </c>
      <c r="H79" s="9" t="s">
        <v>45</v>
      </c>
      <c r="I79" s="9" t="s">
        <v>45</v>
      </c>
      <c r="J79" s="9">
        <v>0</v>
      </c>
      <c r="K79" s="9" t="s">
        <v>45</v>
      </c>
      <c r="L79" s="17">
        <v>4</v>
      </c>
      <c r="M79" s="15" t="s">
        <v>575</v>
      </c>
      <c r="N79" s="18"/>
      <c r="O79" s="18" t="s">
        <v>174</v>
      </c>
      <c r="P79" s="19"/>
    </row>
    <row r="80" spans="1:16" ht="24">
      <c r="A80" s="10"/>
      <c r="B80" s="6">
        <f t="shared" si="1"/>
        <v>79</v>
      </c>
      <c r="C80" s="6"/>
      <c r="D80" s="15" t="s">
        <v>576</v>
      </c>
      <c r="E80" s="8" t="s">
        <v>44</v>
      </c>
      <c r="F80" s="9" t="s">
        <v>45</v>
      </c>
      <c r="G80" s="8" t="s">
        <v>46</v>
      </c>
      <c r="H80" s="9" t="s">
        <v>45</v>
      </c>
      <c r="I80" s="9" t="s">
        <v>45</v>
      </c>
      <c r="J80" s="9">
        <v>0</v>
      </c>
      <c r="K80" s="9" t="s">
        <v>45</v>
      </c>
      <c r="L80" s="17">
        <v>4</v>
      </c>
      <c r="M80" s="15" t="s">
        <v>577</v>
      </c>
      <c r="N80" s="18"/>
      <c r="O80" s="18"/>
      <c r="P80" s="19"/>
    </row>
    <row r="81" spans="1:16" ht="14.25">
      <c r="A81" s="10"/>
      <c r="B81" s="6">
        <f t="shared" si="1"/>
        <v>80</v>
      </c>
      <c r="C81" s="6"/>
      <c r="D81" s="24" t="s">
        <v>578</v>
      </c>
      <c r="E81" s="8" t="s">
        <v>44</v>
      </c>
      <c r="F81" s="9" t="s">
        <v>45</v>
      </c>
      <c r="G81" s="8" t="s">
        <v>46</v>
      </c>
      <c r="H81" s="9" t="s">
        <v>45</v>
      </c>
      <c r="I81" s="9" t="s">
        <v>45</v>
      </c>
      <c r="J81" s="9">
        <v>0</v>
      </c>
      <c r="K81" s="9" t="s">
        <v>45</v>
      </c>
      <c r="L81" s="25">
        <v>4</v>
      </c>
      <c r="M81" s="24" t="s">
        <v>579</v>
      </c>
      <c r="N81" s="20"/>
      <c r="O81" s="19"/>
      <c r="P81" s="19"/>
    </row>
    <row r="82" spans="1:16">
      <c r="A82" s="10"/>
      <c r="B82" s="6">
        <f t="shared" si="1"/>
        <v>81</v>
      </c>
      <c r="C82" s="6"/>
      <c r="D82" s="24" t="s">
        <v>580</v>
      </c>
      <c r="E82" s="8" t="s">
        <v>44</v>
      </c>
      <c r="F82" s="9" t="s">
        <v>45</v>
      </c>
      <c r="G82" s="8" t="s">
        <v>46</v>
      </c>
      <c r="H82" s="9" t="s">
        <v>45</v>
      </c>
      <c r="I82" s="9" t="s">
        <v>45</v>
      </c>
      <c r="J82" s="9">
        <v>0</v>
      </c>
      <c r="K82" s="9" t="s">
        <v>45</v>
      </c>
      <c r="L82" s="25">
        <v>4</v>
      </c>
      <c r="M82" s="24" t="s">
        <v>581</v>
      </c>
      <c r="N82" s="20"/>
      <c r="O82" s="19"/>
      <c r="P82" s="19"/>
    </row>
    <row r="83" spans="1:16" ht="24">
      <c r="A83" s="10"/>
      <c r="B83" s="6">
        <f t="shared" si="1"/>
        <v>82</v>
      </c>
      <c r="C83" s="6"/>
      <c r="D83" s="15" t="s">
        <v>582</v>
      </c>
      <c r="E83" s="8" t="s">
        <v>44</v>
      </c>
      <c r="F83" s="9" t="s">
        <v>45</v>
      </c>
      <c r="G83" s="8" t="s">
        <v>46</v>
      </c>
      <c r="H83" s="9" t="s">
        <v>45</v>
      </c>
      <c r="I83" s="9" t="s">
        <v>45</v>
      </c>
      <c r="J83" s="9">
        <v>0</v>
      </c>
      <c r="K83" s="9" t="s">
        <v>45</v>
      </c>
      <c r="L83" s="25">
        <v>4</v>
      </c>
      <c r="M83" s="15" t="s">
        <v>583</v>
      </c>
      <c r="N83" s="20"/>
      <c r="O83" s="19"/>
      <c r="P83" s="19"/>
    </row>
    <row r="84" spans="1:16" ht="24">
      <c r="A84" s="10"/>
      <c r="B84" s="6">
        <f t="shared" si="1"/>
        <v>83</v>
      </c>
      <c r="C84" s="6"/>
      <c r="D84" s="15" t="s">
        <v>584</v>
      </c>
      <c r="E84" s="8" t="s">
        <v>44</v>
      </c>
      <c r="F84" s="9" t="s">
        <v>45</v>
      </c>
      <c r="G84" s="8" t="s">
        <v>46</v>
      </c>
      <c r="H84" s="9" t="s">
        <v>45</v>
      </c>
      <c r="I84" s="9" t="s">
        <v>45</v>
      </c>
      <c r="J84" s="9">
        <v>0</v>
      </c>
      <c r="K84" s="9" t="s">
        <v>45</v>
      </c>
      <c r="L84" s="25">
        <v>4</v>
      </c>
      <c r="M84" s="15" t="s">
        <v>585</v>
      </c>
      <c r="N84" s="20"/>
      <c r="O84" s="19"/>
      <c r="P84" s="19"/>
    </row>
    <row r="85" spans="1:16">
      <c r="A85" s="10"/>
      <c r="B85" s="6">
        <f t="shared" si="1"/>
        <v>84</v>
      </c>
      <c r="C85" s="6"/>
      <c r="D85" s="15" t="s">
        <v>586</v>
      </c>
      <c r="E85" s="15" t="s">
        <v>44</v>
      </c>
      <c r="F85" s="9" t="s">
        <v>45</v>
      </c>
      <c r="G85" s="25" t="s">
        <v>46</v>
      </c>
      <c r="H85" s="9" t="s">
        <v>45</v>
      </c>
      <c r="I85" s="9" t="s">
        <v>45</v>
      </c>
      <c r="J85" s="9">
        <v>0</v>
      </c>
      <c r="K85" s="9" t="s">
        <v>45</v>
      </c>
      <c r="L85" s="9">
        <v>8</v>
      </c>
      <c r="M85" s="15" t="s">
        <v>586</v>
      </c>
      <c r="N85" s="20"/>
      <c r="O85" s="19"/>
      <c r="P85" s="19"/>
    </row>
    <row r="86" spans="1:16">
      <c r="A86" s="10"/>
      <c r="B86" s="6">
        <f t="shared" si="1"/>
        <v>85</v>
      </c>
      <c r="C86" s="6"/>
      <c r="D86" s="15" t="s">
        <v>587</v>
      </c>
      <c r="E86" s="15" t="s">
        <v>44</v>
      </c>
      <c r="F86" s="9" t="s">
        <v>45</v>
      </c>
      <c r="G86" s="25" t="s">
        <v>46</v>
      </c>
      <c r="H86" s="9" t="s">
        <v>45</v>
      </c>
      <c r="I86" s="9" t="s">
        <v>45</v>
      </c>
      <c r="J86" s="9">
        <v>0</v>
      </c>
      <c r="K86" s="9" t="s">
        <v>45</v>
      </c>
      <c r="L86" s="9">
        <v>8</v>
      </c>
      <c r="M86" s="15" t="s">
        <v>587</v>
      </c>
      <c r="N86" s="20"/>
      <c r="O86" s="19"/>
      <c r="P86" s="19"/>
    </row>
    <row r="87" spans="1:16">
      <c r="A87" s="10"/>
      <c r="B87" s="6">
        <f t="shared" si="1"/>
        <v>86</v>
      </c>
      <c r="C87" s="6"/>
      <c r="D87" s="15" t="s">
        <v>588</v>
      </c>
      <c r="E87" s="15" t="s">
        <v>44</v>
      </c>
      <c r="F87" s="9" t="s">
        <v>45</v>
      </c>
      <c r="G87" s="25" t="s">
        <v>46</v>
      </c>
      <c r="H87" s="9" t="s">
        <v>45</v>
      </c>
      <c r="I87" s="9" t="s">
        <v>45</v>
      </c>
      <c r="J87" s="9">
        <v>0</v>
      </c>
      <c r="K87" s="9" t="s">
        <v>45</v>
      </c>
      <c r="L87" s="9">
        <v>8</v>
      </c>
      <c r="M87" s="15" t="s">
        <v>588</v>
      </c>
      <c r="N87" s="20"/>
      <c r="O87" s="19"/>
      <c r="P87" s="19"/>
    </row>
    <row r="88" spans="1:16">
      <c r="A88" s="10"/>
      <c r="B88" s="6">
        <f t="shared" si="1"/>
        <v>87</v>
      </c>
      <c r="C88" s="6"/>
      <c r="D88" s="26" t="s">
        <v>589</v>
      </c>
      <c r="E88" s="8" t="s">
        <v>44</v>
      </c>
      <c r="F88" s="9" t="s">
        <v>45</v>
      </c>
      <c r="G88" s="8" t="s">
        <v>46</v>
      </c>
      <c r="H88" s="9" t="s">
        <v>45</v>
      </c>
      <c r="I88" s="9" t="s">
        <v>45</v>
      </c>
      <c r="J88" s="9" t="s">
        <v>45</v>
      </c>
      <c r="K88" s="9" t="s">
        <v>45</v>
      </c>
      <c r="L88" s="17">
        <v>16</v>
      </c>
      <c r="M88" s="15" t="s">
        <v>590</v>
      </c>
      <c r="N88" s="20"/>
      <c r="O88" s="19"/>
      <c r="P88" s="19"/>
    </row>
    <row r="89" spans="1:16">
      <c r="A89" s="10"/>
      <c r="B89" s="6">
        <f t="shared" si="1"/>
        <v>88</v>
      </c>
      <c r="C89" s="6"/>
      <c r="D89" s="27" t="s">
        <v>591</v>
      </c>
      <c r="E89" s="8" t="s">
        <v>44</v>
      </c>
      <c r="F89" s="9" t="s">
        <v>45</v>
      </c>
      <c r="G89" s="8" t="s">
        <v>46</v>
      </c>
      <c r="H89" s="9" t="s">
        <v>45</v>
      </c>
      <c r="I89" s="9" t="s">
        <v>45</v>
      </c>
      <c r="J89" s="9" t="s">
        <v>45</v>
      </c>
      <c r="K89" s="9" t="s">
        <v>45</v>
      </c>
      <c r="L89" s="17">
        <v>16</v>
      </c>
      <c r="M89" s="15" t="s">
        <v>592</v>
      </c>
      <c r="N89" s="20"/>
      <c r="O89" s="19"/>
      <c r="P89" s="19"/>
    </row>
    <row r="90" spans="1:16">
      <c r="A90" s="10"/>
      <c r="B90" s="6">
        <f t="shared" si="1"/>
        <v>89</v>
      </c>
      <c r="C90" s="6"/>
      <c r="D90" s="27" t="s">
        <v>593</v>
      </c>
      <c r="E90" s="8" t="s">
        <v>44</v>
      </c>
      <c r="F90" s="9" t="s">
        <v>45</v>
      </c>
      <c r="G90" s="8" t="s">
        <v>46</v>
      </c>
      <c r="H90" s="9" t="s">
        <v>45</v>
      </c>
      <c r="I90" s="9" t="s">
        <v>45</v>
      </c>
      <c r="J90" s="9" t="s">
        <v>45</v>
      </c>
      <c r="K90" s="9" t="s">
        <v>45</v>
      </c>
      <c r="L90" s="17">
        <v>16</v>
      </c>
      <c r="M90" s="15" t="s">
        <v>594</v>
      </c>
      <c r="N90" s="20"/>
      <c r="O90" s="19"/>
      <c r="P90" s="19"/>
    </row>
    <row r="91" spans="1:16">
      <c r="A91" s="10"/>
      <c r="B91" s="6">
        <f t="shared" si="1"/>
        <v>90</v>
      </c>
      <c r="C91" s="6"/>
      <c r="D91" s="27" t="s">
        <v>595</v>
      </c>
      <c r="E91" s="8" t="s">
        <v>44</v>
      </c>
      <c r="F91" s="9" t="s">
        <v>45</v>
      </c>
      <c r="G91" s="8" t="s">
        <v>46</v>
      </c>
      <c r="H91" s="9" t="s">
        <v>45</v>
      </c>
      <c r="I91" s="9" t="s">
        <v>45</v>
      </c>
      <c r="J91" s="9" t="s">
        <v>45</v>
      </c>
      <c r="K91" s="9" t="s">
        <v>45</v>
      </c>
      <c r="L91" s="17">
        <v>8</v>
      </c>
      <c r="M91" s="15" t="s">
        <v>596</v>
      </c>
      <c r="N91" s="20"/>
      <c r="O91" s="19"/>
      <c r="P91" s="19"/>
    </row>
    <row r="92" spans="1:16" ht="20.25" customHeight="1">
      <c r="A92" s="10"/>
      <c r="B92" s="6">
        <f t="shared" si="1"/>
        <v>91</v>
      </c>
      <c r="C92" s="6"/>
      <c r="D92" s="27" t="s">
        <v>597</v>
      </c>
      <c r="E92" s="8" t="s">
        <v>44</v>
      </c>
      <c r="F92" s="9" t="s">
        <v>45</v>
      </c>
      <c r="G92" s="8" t="s">
        <v>46</v>
      </c>
      <c r="H92" s="9" t="s">
        <v>45</v>
      </c>
      <c r="I92" s="9" t="s">
        <v>45</v>
      </c>
      <c r="J92" s="9" t="s">
        <v>45</v>
      </c>
      <c r="K92" s="9" t="s">
        <v>45</v>
      </c>
      <c r="L92" s="17">
        <v>8</v>
      </c>
      <c r="M92" s="15" t="s">
        <v>598</v>
      </c>
      <c r="N92" s="20"/>
      <c r="O92" s="19"/>
      <c r="P92" s="19"/>
    </row>
    <row r="93" spans="1:16">
      <c r="A93" s="10"/>
      <c r="B93" s="6">
        <f t="shared" si="1"/>
        <v>92</v>
      </c>
      <c r="C93" s="6"/>
      <c r="D93" s="27" t="s">
        <v>599</v>
      </c>
      <c r="E93" s="8" t="s">
        <v>44</v>
      </c>
      <c r="F93" s="9" t="s">
        <v>45</v>
      </c>
      <c r="G93" s="8" t="s">
        <v>46</v>
      </c>
      <c r="H93" s="9" t="s">
        <v>45</v>
      </c>
      <c r="I93" s="9" t="s">
        <v>45</v>
      </c>
      <c r="J93" s="9" t="s">
        <v>45</v>
      </c>
      <c r="K93" s="9" t="s">
        <v>45</v>
      </c>
      <c r="L93" s="17">
        <v>32</v>
      </c>
      <c r="M93" s="15" t="s">
        <v>600</v>
      </c>
      <c r="N93" s="20"/>
      <c r="O93" s="19"/>
      <c r="P93" s="19"/>
    </row>
    <row r="94" spans="1:16">
      <c r="A94" s="10"/>
      <c r="B94" s="6">
        <f t="shared" si="1"/>
        <v>93</v>
      </c>
      <c r="C94" s="6"/>
      <c r="D94" s="27" t="s">
        <v>601</v>
      </c>
      <c r="E94" s="8" t="s">
        <v>44</v>
      </c>
      <c r="F94" s="9" t="s">
        <v>45</v>
      </c>
      <c r="G94" s="8" t="s">
        <v>46</v>
      </c>
      <c r="H94" s="9" t="s">
        <v>45</v>
      </c>
      <c r="I94" s="9" t="s">
        <v>45</v>
      </c>
      <c r="J94" s="9" t="s">
        <v>45</v>
      </c>
      <c r="K94" s="9" t="s">
        <v>45</v>
      </c>
      <c r="L94" s="17">
        <v>32</v>
      </c>
      <c r="M94" s="15" t="s">
        <v>602</v>
      </c>
      <c r="N94" s="20"/>
      <c r="O94" s="19"/>
      <c r="P94" s="19"/>
    </row>
    <row r="95" spans="1:16">
      <c r="A95" s="10"/>
      <c r="B95" s="6">
        <f t="shared" si="1"/>
        <v>94</v>
      </c>
      <c r="C95" s="6"/>
      <c r="D95" s="27" t="s">
        <v>603</v>
      </c>
      <c r="E95" s="8" t="s">
        <v>44</v>
      </c>
      <c r="F95" s="9" t="s">
        <v>45</v>
      </c>
      <c r="G95" s="8" t="s">
        <v>46</v>
      </c>
      <c r="H95" s="9" t="s">
        <v>45</v>
      </c>
      <c r="I95" s="9" t="s">
        <v>45</v>
      </c>
      <c r="J95" s="9" t="s">
        <v>45</v>
      </c>
      <c r="K95" s="9" t="s">
        <v>45</v>
      </c>
      <c r="L95" s="17">
        <v>16</v>
      </c>
      <c r="M95" s="15" t="s">
        <v>604</v>
      </c>
      <c r="N95" s="20"/>
      <c r="O95" s="19"/>
      <c r="P95" s="19"/>
    </row>
    <row r="96" spans="1:16">
      <c r="A96" s="10"/>
      <c r="B96" s="6">
        <f t="shared" si="1"/>
        <v>95</v>
      </c>
      <c r="C96" s="6"/>
      <c r="D96" s="27" t="s">
        <v>605</v>
      </c>
      <c r="E96" s="8" t="s">
        <v>44</v>
      </c>
      <c r="F96" s="9" t="s">
        <v>45</v>
      </c>
      <c r="G96" s="8" t="s">
        <v>46</v>
      </c>
      <c r="H96" s="9" t="s">
        <v>45</v>
      </c>
      <c r="I96" s="9" t="s">
        <v>45</v>
      </c>
      <c r="J96" s="9" t="s">
        <v>45</v>
      </c>
      <c r="K96" s="9" t="s">
        <v>45</v>
      </c>
      <c r="L96" s="17">
        <v>16</v>
      </c>
      <c r="M96" s="15" t="s">
        <v>606</v>
      </c>
      <c r="N96" s="20"/>
      <c r="O96" s="19"/>
      <c r="P96" s="19"/>
    </row>
    <row r="97" spans="1:16">
      <c r="A97" s="10"/>
      <c r="B97" s="6">
        <f t="shared" si="1"/>
        <v>96</v>
      </c>
      <c r="C97" s="6"/>
      <c r="D97" s="27" t="s">
        <v>607</v>
      </c>
      <c r="E97" s="8" t="s">
        <v>44</v>
      </c>
      <c r="F97" s="9" t="s">
        <v>45</v>
      </c>
      <c r="G97" s="8" t="s">
        <v>46</v>
      </c>
      <c r="H97" s="9" t="s">
        <v>45</v>
      </c>
      <c r="I97" s="9" t="s">
        <v>45</v>
      </c>
      <c r="J97" s="9" t="s">
        <v>45</v>
      </c>
      <c r="K97" s="9" t="s">
        <v>45</v>
      </c>
      <c r="L97" s="17">
        <v>16</v>
      </c>
      <c r="M97" s="15" t="s">
        <v>608</v>
      </c>
      <c r="N97" s="20"/>
      <c r="O97" s="19"/>
      <c r="P97" s="19"/>
    </row>
    <row r="98" spans="1:16">
      <c r="A98" s="10"/>
      <c r="B98" s="6">
        <f t="shared" si="1"/>
        <v>97</v>
      </c>
      <c r="C98" s="6"/>
      <c r="D98" s="27" t="s">
        <v>609</v>
      </c>
      <c r="E98" s="8" t="s">
        <v>44</v>
      </c>
      <c r="F98" s="9" t="s">
        <v>45</v>
      </c>
      <c r="G98" s="8" t="s">
        <v>46</v>
      </c>
      <c r="H98" s="9" t="s">
        <v>45</v>
      </c>
      <c r="I98" s="9" t="s">
        <v>45</v>
      </c>
      <c r="J98" s="9" t="s">
        <v>45</v>
      </c>
      <c r="K98" s="9" t="s">
        <v>45</v>
      </c>
      <c r="L98" s="17">
        <v>16</v>
      </c>
      <c r="M98" s="15" t="s">
        <v>610</v>
      </c>
      <c r="N98" s="20"/>
      <c r="O98" s="19"/>
      <c r="P98" s="19"/>
    </row>
    <row r="99" spans="1:16">
      <c r="A99" s="10"/>
      <c r="B99" s="6">
        <f t="shared" si="1"/>
        <v>98</v>
      </c>
      <c r="C99" s="6"/>
      <c r="D99" s="27" t="s">
        <v>611</v>
      </c>
      <c r="E99" s="8" t="s">
        <v>44</v>
      </c>
      <c r="F99" s="9" t="s">
        <v>45</v>
      </c>
      <c r="G99" s="8" t="s">
        <v>46</v>
      </c>
      <c r="H99" s="9" t="s">
        <v>45</v>
      </c>
      <c r="I99" s="9" t="s">
        <v>45</v>
      </c>
      <c r="J99" s="9" t="s">
        <v>45</v>
      </c>
      <c r="K99" s="9" t="s">
        <v>45</v>
      </c>
      <c r="L99" s="17">
        <v>16</v>
      </c>
      <c r="M99" s="15" t="s">
        <v>612</v>
      </c>
      <c r="N99" s="20"/>
      <c r="O99" s="19"/>
      <c r="P99" s="19"/>
    </row>
    <row r="100" spans="1:16">
      <c r="A100" s="10"/>
      <c r="B100" s="6">
        <f t="shared" si="1"/>
        <v>99</v>
      </c>
      <c r="C100" s="6"/>
      <c r="D100" s="27" t="s">
        <v>613</v>
      </c>
      <c r="E100" s="8" t="s">
        <v>44</v>
      </c>
      <c r="F100" s="9" t="s">
        <v>45</v>
      </c>
      <c r="G100" s="8" t="s">
        <v>46</v>
      </c>
      <c r="H100" s="9" t="s">
        <v>45</v>
      </c>
      <c r="I100" s="9" t="s">
        <v>45</v>
      </c>
      <c r="J100" s="9" t="s">
        <v>45</v>
      </c>
      <c r="K100" s="9" t="s">
        <v>45</v>
      </c>
      <c r="L100" s="17">
        <v>16</v>
      </c>
      <c r="M100" s="15" t="s">
        <v>614</v>
      </c>
      <c r="N100" s="20"/>
      <c r="O100" s="19"/>
      <c r="P100" s="19"/>
    </row>
    <row r="101" spans="1:16">
      <c r="A101" s="10"/>
      <c r="B101" s="6">
        <f t="shared" si="1"/>
        <v>100</v>
      </c>
      <c r="C101" s="6"/>
      <c r="D101" s="27" t="s">
        <v>615</v>
      </c>
      <c r="E101" s="8" t="s">
        <v>44</v>
      </c>
      <c r="F101" s="9" t="s">
        <v>45</v>
      </c>
      <c r="G101" s="8" t="s">
        <v>46</v>
      </c>
      <c r="H101" s="9" t="s">
        <v>45</v>
      </c>
      <c r="I101" s="9" t="s">
        <v>45</v>
      </c>
      <c r="J101" s="9" t="s">
        <v>45</v>
      </c>
      <c r="K101" s="9" t="s">
        <v>45</v>
      </c>
      <c r="L101" s="17">
        <v>16</v>
      </c>
      <c r="M101" s="15" t="s">
        <v>616</v>
      </c>
      <c r="N101" s="20"/>
      <c r="O101" s="19"/>
      <c r="P101" s="19"/>
    </row>
    <row r="102" spans="1:16">
      <c r="A102" s="10"/>
      <c r="B102" s="6">
        <f t="shared" si="1"/>
        <v>101</v>
      </c>
      <c r="C102" s="6"/>
      <c r="D102" s="27" t="s">
        <v>615</v>
      </c>
      <c r="E102" s="8" t="s">
        <v>44</v>
      </c>
      <c r="F102" s="9" t="s">
        <v>45</v>
      </c>
      <c r="G102" s="8" t="s">
        <v>46</v>
      </c>
      <c r="H102" s="9" t="s">
        <v>45</v>
      </c>
      <c r="I102" s="9" t="s">
        <v>45</v>
      </c>
      <c r="J102" s="9" t="s">
        <v>45</v>
      </c>
      <c r="K102" s="9" t="s">
        <v>45</v>
      </c>
      <c r="L102" s="17">
        <v>16</v>
      </c>
      <c r="M102" s="15" t="s">
        <v>617</v>
      </c>
      <c r="N102" s="20"/>
      <c r="O102" s="19"/>
      <c r="P102" s="19"/>
    </row>
    <row r="103" spans="1:16">
      <c r="A103" s="10"/>
      <c r="B103" s="6">
        <f t="shared" si="1"/>
        <v>102</v>
      </c>
      <c r="C103" s="6"/>
      <c r="D103" s="27" t="s">
        <v>618</v>
      </c>
      <c r="E103" s="8" t="s">
        <v>44</v>
      </c>
      <c r="F103" s="9" t="s">
        <v>45</v>
      </c>
      <c r="G103" s="8" t="s">
        <v>46</v>
      </c>
      <c r="H103" s="9" t="s">
        <v>45</v>
      </c>
      <c r="I103" s="9" t="s">
        <v>45</v>
      </c>
      <c r="J103" s="9" t="s">
        <v>45</v>
      </c>
      <c r="K103" s="9" t="s">
        <v>45</v>
      </c>
      <c r="L103" s="17">
        <v>8</v>
      </c>
      <c r="M103" s="15" t="s">
        <v>619</v>
      </c>
      <c r="N103" s="20"/>
      <c r="O103" s="19"/>
      <c r="P103" s="19"/>
    </row>
    <row r="104" spans="1:16">
      <c r="A104" s="10"/>
      <c r="B104" s="6">
        <f t="shared" si="1"/>
        <v>103</v>
      </c>
      <c r="C104" s="6"/>
      <c r="D104" s="27" t="s">
        <v>620</v>
      </c>
      <c r="E104" s="8" t="s">
        <v>44</v>
      </c>
      <c r="F104" s="9" t="s">
        <v>45</v>
      </c>
      <c r="G104" s="8" t="s">
        <v>46</v>
      </c>
      <c r="H104" s="9" t="s">
        <v>45</v>
      </c>
      <c r="I104" s="9" t="s">
        <v>45</v>
      </c>
      <c r="J104" s="9" t="s">
        <v>45</v>
      </c>
      <c r="K104" s="9" t="s">
        <v>45</v>
      </c>
      <c r="L104" s="17">
        <v>8</v>
      </c>
      <c r="M104" s="15" t="s">
        <v>621</v>
      </c>
      <c r="N104" s="20"/>
      <c r="O104" s="19"/>
      <c r="P104" s="19"/>
    </row>
    <row r="105" spans="1:16">
      <c r="A105" s="10"/>
      <c r="B105" s="6">
        <f t="shared" si="1"/>
        <v>104</v>
      </c>
      <c r="C105" s="6"/>
      <c r="D105" s="27" t="s">
        <v>622</v>
      </c>
      <c r="E105" s="8" t="s">
        <v>44</v>
      </c>
      <c r="F105" s="9" t="s">
        <v>45</v>
      </c>
      <c r="G105" s="8" t="s">
        <v>46</v>
      </c>
      <c r="H105" s="9" t="s">
        <v>45</v>
      </c>
      <c r="I105" s="9" t="s">
        <v>45</v>
      </c>
      <c r="J105" s="9" t="s">
        <v>45</v>
      </c>
      <c r="K105" s="9" t="s">
        <v>45</v>
      </c>
      <c r="L105" s="17">
        <v>8</v>
      </c>
      <c r="M105" s="15" t="s">
        <v>623</v>
      </c>
      <c r="N105" s="20"/>
      <c r="O105" s="19"/>
      <c r="P105" s="19"/>
    </row>
    <row r="106" spans="1:16">
      <c r="A106" s="10"/>
      <c r="B106" s="6">
        <f t="shared" si="1"/>
        <v>105</v>
      </c>
      <c r="C106" s="6"/>
      <c r="D106" s="27" t="s">
        <v>624</v>
      </c>
      <c r="E106" s="8" t="s">
        <v>44</v>
      </c>
      <c r="F106" s="9" t="s">
        <v>45</v>
      </c>
      <c r="G106" s="8" t="s">
        <v>46</v>
      </c>
      <c r="H106" s="9" t="s">
        <v>45</v>
      </c>
      <c r="I106" s="9" t="s">
        <v>45</v>
      </c>
      <c r="J106" s="9" t="s">
        <v>45</v>
      </c>
      <c r="K106" s="9" t="s">
        <v>45</v>
      </c>
      <c r="L106" s="17">
        <v>8</v>
      </c>
      <c r="M106" s="15" t="s">
        <v>625</v>
      </c>
      <c r="N106" s="20"/>
      <c r="O106" s="19"/>
      <c r="P106" s="19"/>
    </row>
    <row r="107" spans="1:16">
      <c r="A107" s="10"/>
      <c r="B107" s="6">
        <f t="shared" si="1"/>
        <v>106</v>
      </c>
      <c r="C107" s="6"/>
      <c r="D107" s="27" t="s">
        <v>626</v>
      </c>
      <c r="E107" s="8" t="s">
        <v>44</v>
      </c>
      <c r="F107" s="9" t="s">
        <v>45</v>
      </c>
      <c r="G107" s="8" t="s">
        <v>46</v>
      </c>
      <c r="H107" s="9" t="s">
        <v>45</v>
      </c>
      <c r="I107" s="9" t="s">
        <v>45</v>
      </c>
      <c r="J107" s="9" t="s">
        <v>45</v>
      </c>
      <c r="K107" s="9" t="s">
        <v>45</v>
      </c>
      <c r="L107" s="17">
        <v>8</v>
      </c>
      <c r="M107" s="15" t="s">
        <v>627</v>
      </c>
      <c r="N107" s="20"/>
      <c r="O107" s="19"/>
      <c r="P107" s="19"/>
    </row>
    <row r="108" spans="1:16">
      <c r="A108" s="10"/>
      <c r="B108" s="6">
        <f t="shared" si="1"/>
        <v>107</v>
      </c>
      <c r="C108" s="6"/>
      <c r="D108" s="27" t="s">
        <v>628</v>
      </c>
      <c r="E108" s="8" t="s">
        <v>44</v>
      </c>
      <c r="F108" s="9" t="s">
        <v>45</v>
      </c>
      <c r="G108" s="8" t="s">
        <v>46</v>
      </c>
      <c r="H108" s="9" t="s">
        <v>45</v>
      </c>
      <c r="I108" s="9" t="s">
        <v>45</v>
      </c>
      <c r="J108" s="9" t="s">
        <v>45</v>
      </c>
      <c r="K108" s="9" t="s">
        <v>45</v>
      </c>
      <c r="L108" s="17">
        <v>8</v>
      </c>
      <c r="M108" s="15" t="s">
        <v>629</v>
      </c>
      <c r="N108" s="20"/>
      <c r="O108" s="19"/>
      <c r="P108" s="19"/>
    </row>
    <row r="109" spans="1:16">
      <c r="A109" s="10"/>
      <c r="B109" s="6">
        <f t="shared" si="1"/>
        <v>108</v>
      </c>
      <c r="C109" s="6"/>
      <c r="D109" s="27" t="s">
        <v>630</v>
      </c>
      <c r="E109" s="8" t="s">
        <v>44</v>
      </c>
      <c r="F109" s="9" t="s">
        <v>45</v>
      </c>
      <c r="G109" s="8" t="s">
        <v>46</v>
      </c>
      <c r="H109" s="9" t="s">
        <v>45</v>
      </c>
      <c r="I109" s="9" t="s">
        <v>45</v>
      </c>
      <c r="J109" s="9" t="s">
        <v>45</v>
      </c>
      <c r="K109" s="9" t="s">
        <v>45</v>
      </c>
      <c r="L109" s="17">
        <v>8</v>
      </c>
      <c r="M109" s="15" t="s">
        <v>631</v>
      </c>
      <c r="N109" s="20"/>
      <c r="O109" s="19"/>
      <c r="P109" s="19"/>
    </row>
    <row r="110" spans="1:16">
      <c r="A110" s="10"/>
      <c r="B110" s="6">
        <f t="shared" si="1"/>
        <v>109</v>
      </c>
      <c r="C110" s="6"/>
      <c r="D110" s="27" t="s">
        <v>632</v>
      </c>
      <c r="E110" s="8" t="s">
        <v>44</v>
      </c>
      <c r="F110" s="9" t="s">
        <v>45</v>
      </c>
      <c r="G110" s="8" t="s">
        <v>46</v>
      </c>
      <c r="H110" s="9" t="s">
        <v>45</v>
      </c>
      <c r="I110" s="9" t="s">
        <v>45</v>
      </c>
      <c r="J110" s="9" t="s">
        <v>45</v>
      </c>
      <c r="K110" s="9" t="s">
        <v>45</v>
      </c>
      <c r="L110" s="17">
        <v>8</v>
      </c>
      <c r="M110" s="15" t="s">
        <v>633</v>
      </c>
      <c r="N110" s="20"/>
      <c r="O110" s="19"/>
      <c r="P110" s="19"/>
    </row>
    <row r="111" spans="1:16" ht="21" customHeight="1">
      <c r="A111" s="10"/>
      <c r="B111" s="6">
        <f t="shared" si="1"/>
        <v>110</v>
      </c>
      <c r="C111" s="6"/>
      <c r="D111" s="27" t="s">
        <v>634</v>
      </c>
      <c r="E111" s="8" t="s">
        <v>44</v>
      </c>
      <c r="F111" s="9" t="s">
        <v>45</v>
      </c>
      <c r="G111" s="8" t="s">
        <v>46</v>
      </c>
      <c r="H111" s="9" t="s">
        <v>45</v>
      </c>
      <c r="I111" s="9" t="s">
        <v>45</v>
      </c>
      <c r="J111" s="9" t="s">
        <v>45</v>
      </c>
      <c r="K111" s="9" t="s">
        <v>45</v>
      </c>
      <c r="L111" s="17">
        <v>8</v>
      </c>
      <c r="M111" s="15" t="s">
        <v>635</v>
      </c>
      <c r="N111" s="20"/>
      <c r="O111" s="19"/>
      <c r="P111" s="19"/>
    </row>
    <row r="112" spans="1:16" ht="25.5" customHeight="1">
      <c r="A112" s="10"/>
      <c r="B112" s="6">
        <f t="shared" si="1"/>
        <v>111</v>
      </c>
      <c r="C112" s="6"/>
      <c r="D112" s="27" t="s">
        <v>636</v>
      </c>
      <c r="E112" s="8" t="s">
        <v>44</v>
      </c>
      <c r="F112" s="9" t="s">
        <v>45</v>
      </c>
      <c r="G112" s="8" t="s">
        <v>46</v>
      </c>
      <c r="H112" s="9" t="s">
        <v>45</v>
      </c>
      <c r="I112" s="9" t="s">
        <v>45</v>
      </c>
      <c r="J112" s="9" t="s">
        <v>45</v>
      </c>
      <c r="K112" s="9" t="s">
        <v>45</v>
      </c>
      <c r="L112" s="17">
        <v>8</v>
      </c>
      <c r="M112" s="15" t="s">
        <v>637</v>
      </c>
      <c r="N112" s="20"/>
      <c r="O112" s="19"/>
      <c r="P112" s="19"/>
    </row>
    <row r="113" spans="1:16">
      <c r="A113" s="10"/>
      <c r="B113" s="6">
        <f t="shared" si="1"/>
        <v>112</v>
      </c>
      <c r="C113" s="6"/>
      <c r="D113" s="27" t="s">
        <v>638</v>
      </c>
      <c r="E113" s="8" t="s">
        <v>44</v>
      </c>
      <c r="F113" s="9" t="s">
        <v>45</v>
      </c>
      <c r="G113" s="8" t="s">
        <v>46</v>
      </c>
      <c r="H113" s="9" t="s">
        <v>45</v>
      </c>
      <c r="I113" s="9" t="s">
        <v>45</v>
      </c>
      <c r="J113" s="9" t="s">
        <v>45</v>
      </c>
      <c r="K113" s="9" t="s">
        <v>45</v>
      </c>
      <c r="L113" s="17">
        <v>8</v>
      </c>
      <c r="M113" s="15" t="s">
        <v>639</v>
      </c>
      <c r="N113" s="20"/>
      <c r="O113" s="19"/>
      <c r="P113" s="19"/>
    </row>
    <row r="114" spans="1:16">
      <c r="A114" s="10"/>
      <c r="B114" s="6">
        <f t="shared" si="1"/>
        <v>113</v>
      </c>
      <c r="C114" s="6"/>
      <c r="D114" s="27" t="s">
        <v>640</v>
      </c>
      <c r="E114" s="8" t="s">
        <v>44</v>
      </c>
      <c r="F114" s="9" t="s">
        <v>45</v>
      </c>
      <c r="G114" s="8" t="s">
        <v>46</v>
      </c>
      <c r="H114" s="9" t="s">
        <v>45</v>
      </c>
      <c r="I114" s="9" t="s">
        <v>45</v>
      </c>
      <c r="J114" s="9" t="s">
        <v>45</v>
      </c>
      <c r="K114" s="9" t="s">
        <v>45</v>
      </c>
      <c r="L114" s="17">
        <v>8</v>
      </c>
      <c r="M114" s="15" t="s">
        <v>641</v>
      </c>
      <c r="N114" s="20"/>
      <c r="O114" s="19"/>
      <c r="P114" s="19"/>
    </row>
    <row r="115" spans="1:16">
      <c r="A115" s="10"/>
      <c r="B115" s="6">
        <f t="shared" si="1"/>
        <v>114</v>
      </c>
      <c r="C115" s="6"/>
      <c r="D115" s="27" t="s">
        <v>642</v>
      </c>
      <c r="E115" s="8" t="s">
        <v>44</v>
      </c>
      <c r="F115" s="9" t="s">
        <v>45</v>
      </c>
      <c r="G115" s="8" t="s">
        <v>46</v>
      </c>
      <c r="H115" s="9" t="s">
        <v>45</v>
      </c>
      <c r="I115" s="9" t="s">
        <v>45</v>
      </c>
      <c r="J115" s="9" t="s">
        <v>45</v>
      </c>
      <c r="K115" s="9" t="s">
        <v>45</v>
      </c>
      <c r="L115" s="17">
        <v>8</v>
      </c>
      <c r="M115" s="15" t="s">
        <v>643</v>
      </c>
      <c r="N115" s="20"/>
      <c r="O115" s="19"/>
      <c r="P115" s="19"/>
    </row>
    <row r="116" spans="1:16">
      <c r="A116" s="10"/>
      <c r="B116" s="6">
        <f t="shared" si="1"/>
        <v>115</v>
      </c>
      <c r="C116" s="6"/>
      <c r="D116" s="27" t="s">
        <v>644</v>
      </c>
      <c r="E116" s="8" t="s">
        <v>44</v>
      </c>
      <c r="F116" s="9" t="s">
        <v>45</v>
      </c>
      <c r="G116" s="8" t="s">
        <v>46</v>
      </c>
      <c r="H116" s="9" t="s">
        <v>45</v>
      </c>
      <c r="I116" s="9" t="s">
        <v>45</v>
      </c>
      <c r="J116" s="9" t="s">
        <v>45</v>
      </c>
      <c r="K116" s="9" t="s">
        <v>45</v>
      </c>
      <c r="L116" s="17">
        <v>8</v>
      </c>
      <c r="M116" s="15" t="s">
        <v>645</v>
      </c>
      <c r="N116" s="20"/>
      <c r="O116" s="19"/>
      <c r="P116" s="19"/>
    </row>
    <row r="117" spans="1:16">
      <c r="A117" s="10"/>
      <c r="B117" s="6">
        <f t="shared" si="1"/>
        <v>116</v>
      </c>
      <c r="C117" s="6"/>
      <c r="D117" s="28" t="s">
        <v>646</v>
      </c>
      <c r="E117" s="8" t="s">
        <v>44</v>
      </c>
      <c r="F117" s="9" t="s">
        <v>45</v>
      </c>
      <c r="G117" s="8" t="s">
        <v>46</v>
      </c>
      <c r="H117" s="9" t="s">
        <v>45</v>
      </c>
      <c r="I117" s="9" t="s">
        <v>45</v>
      </c>
      <c r="J117" s="9" t="s">
        <v>45</v>
      </c>
      <c r="K117" s="9" t="s">
        <v>45</v>
      </c>
      <c r="L117" s="17">
        <v>8</v>
      </c>
      <c r="M117" s="15" t="s">
        <v>647</v>
      </c>
      <c r="N117" s="20"/>
      <c r="O117" s="19"/>
      <c r="P117" s="19"/>
    </row>
    <row r="118" spans="1:16">
      <c r="A118" s="10"/>
      <c r="B118" s="6">
        <f t="shared" si="1"/>
        <v>117</v>
      </c>
      <c r="C118" s="6"/>
      <c r="D118" s="29" t="s">
        <v>648</v>
      </c>
      <c r="E118" s="8" t="s">
        <v>44</v>
      </c>
      <c r="F118" s="9" t="s">
        <v>45</v>
      </c>
      <c r="G118" s="8" t="s">
        <v>46</v>
      </c>
      <c r="H118" s="9" t="s">
        <v>45</v>
      </c>
      <c r="I118" s="9" t="s">
        <v>45</v>
      </c>
      <c r="J118" s="9" t="s">
        <v>45</v>
      </c>
      <c r="K118" s="9" t="s">
        <v>45</v>
      </c>
      <c r="L118" s="17">
        <v>8</v>
      </c>
      <c r="M118" s="15" t="s">
        <v>649</v>
      </c>
      <c r="N118" s="20"/>
      <c r="O118" s="19"/>
      <c r="P118" s="19"/>
    </row>
    <row r="119" spans="1:16">
      <c r="A119" s="30" t="s">
        <v>650</v>
      </c>
      <c r="B119" s="31">
        <f t="shared" ref="B119" si="2">ROW(B118)</f>
        <v>118</v>
      </c>
      <c r="C119" s="31"/>
      <c r="D119" s="32" t="s">
        <v>651</v>
      </c>
      <c r="E119" s="33" t="s">
        <v>44</v>
      </c>
      <c r="F119" s="34" t="s">
        <v>45</v>
      </c>
      <c r="G119" s="33" t="s">
        <v>46</v>
      </c>
      <c r="H119" s="34" t="s">
        <v>45</v>
      </c>
      <c r="I119" s="34" t="s">
        <v>45</v>
      </c>
      <c r="J119" s="34" t="s">
        <v>45</v>
      </c>
      <c r="K119" s="34" t="s">
        <v>45</v>
      </c>
      <c r="L119" s="34">
        <v>16</v>
      </c>
      <c r="M119" s="37" t="s">
        <v>651</v>
      </c>
      <c r="N119" s="20"/>
      <c r="O119" s="19" t="s">
        <v>652</v>
      </c>
      <c r="P119" s="19"/>
    </row>
    <row r="120" spans="1:16">
      <c r="A120" s="35"/>
      <c r="B120" s="31">
        <f t="shared" ref="B120:B146" si="3">ROW(B119)</f>
        <v>119</v>
      </c>
      <c r="C120" s="31"/>
      <c r="D120" s="32" t="s">
        <v>653</v>
      </c>
      <c r="E120" s="33" t="s">
        <v>44</v>
      </c>
      <c r="F120" s="34" t="s">
        <v>45</v>
      </c>
      <c r="G120" s="33" t="s">
        <v>46</v>
      </c>
      <c r="H120" s="34" t="s">
        <v>45</v>
      </c>
      <c r="I120" s="34" t="s">
        <v>45</v>
      </c>
      <c r="J120" s="34" t="s">
        <v>45</v>
      </c>
      <c r="K120" s="34" t="s">
        <v>45</v>
      </c>
      <c r="L120" s="34">
        <v>16</v>
      </c>
      <c r="M120" s="37" t="s">
        <v>654</v>
      </c>
      <c r="N120" s="20"/>
      <c r="O120" s="19" t="s">
        <v>652</v>
      </c>
      <c r="P120" s="19"/>
    </row>
    <row r="121" spans="1:16">
      <c r="A121" s="35"/>
      <c r="B121" s="31">
        <f t="shared" si="3"/>
        <v>120</v>
      </c>
      <c r="C121" s="31"/>
      <c r="D121" s="32" t="s">
        <v>655</v>
      </c>
      <c r="E121" s="33" t="s">
        <v>44</v>
      </c>
      <c r="F121" s="34" t="s">
        <v>45</v>
      </c>
      <c r="G121" s="33" t="s">
        <v>46</v>
      </c>
      <c r="H121" s="34" t="s">
        <v>45</v>
      </c>
      <c r="I121" s="34" t="s">
        <v>45</v>
      </c>
      <c r="J121" s="34" t="s">
        <v>45</v>
      </c>
      <c r="K121" s="34" t="s">
        <v>45</v>
      </c>
      <c r="L121" s="34">
        <v>1</v>
      </c>
      <c r="M121" s="37" t="s">
        <v>656</v>
      </c>
      <c r="N121" s="20"/>
      <c r="O121" s="19" t="s">
        <v>652</v>
      </c>
      <c r="P121" s="19"/>
    </row>
    <row r="122" spans="1:16">
      <c r="A122" s="35"/>
      <c r="B122" s="31">
        <f t="shared" si="3"/>
        <v>121</v>
      </c>
      <c r="C122" s="31"/>
      <c r="D122" s="32" t="s">
        <v>657</v>
      </c>
      <c r="E122" s="33" t="s">
        <v>44</v>
      </c>
      <c r="F122" s="34" t="s">
        <v>45</v>
      </c>
      <c r="G122" s="33" t="s">
        <v>46</v>
      </c>
      <c r="H122" s="34" t="s">
        <v>45</v>
      </c>
      <c r="I122" s="34" t="s">
        <v>45</v>
      </c>
      <c r="J122" s="34" t="s">
        <v>45</v>
      </c>
      <c r="K122" s="34" t="s">
        <v>45</v>
      </c>
      <c r="L122" s="34">
        <v>1</v>
      </c>
      <c r="M122" s="37" t="s">
        <v>658</v>
      </c>
      <c r="N122" s="20"/>
      <c r="O122" s="19" t="s">
        <v>652</v>
      </c>
      <c r="P122" s="19"/>
    </row>
    <row r="123" spans="1:16">
      <c r="A123" s="35"/>
      <c r="B123" s="31">
        <f t="shared" si="3"/>
        <v>122</v>
      </c>
      <c r="C123" s="31"/>
      <c r="D123" s="32" t="s">
        <v>659</v>
      </c>
      <c r="E123" s="33" t="s">
        <v>44</v>
      </c>
      <c r="F123" s="34" t="s">
        <v>45</v>
      </c>
      <c r="G123" s="33" t="s">
        <v>46</v>
      </c>
      <c r="H123" s="34" t="s">
        <v>45</v>
      </c>
      <c r="I123" s="34" t="s">
        <v>45</v>
      </c>
      <c r="J123" s="34" t="s">
        <v>45</v>
      </c>
      <c r="K123" s="34" t="s">
        <v>45</v>
      </c>
      <c r="L123" s="34">
        <v>1</v>
      </c>
      <c r="M123" s="37" t="s">
        <v>660</v>
      </c>
      <c r="N123" s="20"/>
      <c r="O123" s="19" t="s">
        <v>652</v>
      </c>
      <c r="P123" s="19"/>
    </row>
    <row r="124" spans="1:16">
      <c r="A124" s="35"/>
      <c r="B124" s="31">
        <f t="shared" si="3"/>
        <v>123</v>
      </c>
      <c r="C124" s="31"/>
      <c r="D124" s="32" t="s">
        <v>661</v>
      </c>
      <c r="E124" s="33" t="s">
        <v>44</v>
      </c>
      <c r="F124" s="34" t="s">
        <v>45</v>
      </c>
      <c r="G124" s="33" t="s">
        <v>46</v>
      </c>
      <c r="H124" s="34" t="s">
        <v>45</v>
      </c>
      <c r="I124" s="34" t="s">
        <v>45</v>
      </c>
      <c r="J124" s="34" t="s">
        <v>45</v>
      </c>
      <c r="K124" s="34" t="s">
        <v>45</v>
      </c>
      <c r="L124" s="34">
        <v>1</v>
      </c>
      <c r="M124" s="37" t="s">
        <v>662</v>
      </c>
      <c r="N124" s="20"/>
      <c r="O124" s="19" t="s">
        <v>652</v>
      </c>
      <c r="P124" s="19"/>
    </row>
    <row r="125" spans="1:16">
      <c r="A125" s="35"/>
      <c r="B125" s="31">
        <v>124</v>
      </c>
      <c r="C125" s="31"/>
      <c r="D125" s="36" t="s">
        <v>663</v>
      </c>
      <c r="E125" s="33" t="s">
        <v>44</v>
      </c>
      <c r="F125" s="34" t="s">
        <v>45</v>
      </c>
      <c r="G125" s="33" t="s">
        <v>46</v>
      </c>
      <c r="H125" s="34" t="s">
        <v>45</v>
      </c>
      <c r="I125" s="34" t="s">
        <v>45</v>
      </c>
      <c r="J125" s="34" t="s">
        <v>45</v>
      </c>
      <c r="K125" s="34" t="s">
        <v>45</v>
      </c>
      <c r="L125" s="34">
        <v>4</v>
      </c>
      <c r="M125" s="37" t="s">
        <v>664</v>
      </c>
      <c r="N125" s="20"/>
      <c r="O125" s="19"/>
      <c r="P125" s="19"/>
    </row>
    <row r="126" spans="1:16">
      <c r="A126" s="35"/>
      <c r="B126" s="31">
        <v>125</v>
      </c>
      <c r="C126" s="31"/>
      <c r="D126" s="36" t="s">
        <v>665</v>
      </c>
      <c r="E126" s="33" t="s">
        <v>44</v>
      </c>
      <c r="F126" s="34" t="s">
        <v>45</v>
      </c>
      <c r="G126" s="33" t="s">
        <v>46</v>
      </c>
      <c r="H126" s="34" t="s">
        <v>45</v>
      </c>
      <c r="I126" s="34" t="s">
        <v>45</v>
      </c>
      <c r="J126" s="34" t="s">
        <v>45</v>
      </c>
      <c r="K126" s="34" t="s">
        <v>45</v>
      </c>
      <c r="L126" s="34">
        <v>24</v>
      </c>
      <c r="M126" s="37" t="s">
        <v>666</v>
      </c>
      <c r="N126" s="20"/>
      <c r="O126" s="19" t="s">
        <v>652</v>
      </c>
      <c r="P126" s="19"/>
    </row>
    <row r="127" spans="1:16">
      <c r="A127" s="35"/>
      <c r="B127" s="31">
        <f t="shared" si="3"/>
        <v>126</v>
      </c>
      <c r="C127" s="31"/>
      <c r="D127" s="32" t="s">
        <v>667</v>
      </c>
      <c r="E127" s="33" t="s">
        <v>44</v>
      </c>
      <c r="F127" s="34" t="s">
        <v>45</v>
      </c>
      <c r="G127" s="33" t="s">
        <v>46</v>
      </c>
      <c r="H127" s="34" t="s">
        <v>45</v>
      </c>
      <c r="I127" s="34" t="s">
        <v>45</v>
      </c>
      <c r="J127" s="34" t="s">
        <v>45</v>
      </c>
      <c r="K127" s="34" t="s">
        <v>45</v>
      </c>
      <c r="L127" s="34">
        <v>8</v>
      </c>
      <c r="M127" s="37" t="s">
        <v>668</v>
      </c>
      <c r="N127" s="20"/>
      <c r="O127" s="19" t="s">
        <v>652</v>
      </c>
      <c r="P127" s="19"/>
    </row>
    <row r="128" spans="1:16">
      <c r="A128" s="35"/>
      <c r="B128" s="31">
        <f t="shared" si="3"/>
        <v>127</v>
      </c>
      <c r="C128" s="31"/>
      <c r="D128" s="32" t="s">
        <v>669</v>
      </c>
      <c r="E128" s="33" t="s">
        <v>44</v>
      </c>
      <c r="F128" s="34" t="s">
        <v>45</v>
      </c>
      <c r="G128" s="33" t="s">
        <v>46</v>
      </c>
      <c r="H128" s="34" t="s">
        <v>45</v>
      </c>
      <c r="I128" s="34" t="s">
        <v>45</v>
      </c>
      <c r="J128" s="34" t="s">
        <v>45</v>
      </c>
      <c r="K128" s="34" t="s">
        <v>45</v>
      </c>
      <c r="L128" s="34">
        <v>32</v>
      </c>
      <c r="M128" s="37" t="s">
        <v>670</v>
      </c>
      <c r="N128" s="20"/>
      <c r="O128" s="19" t="s">
        <v>652</v>
      </c>
      <c r="P128" s="19"/>
    </row>
    <row r="129" spans="1:16">
      <c r="A129" s="35"/>
      <c r="B129" s="31">
        <f t="shared" si="3"/>
        <v>128</v>
      </c>
      <c r="C129" s="31"/>
      <c r="D129" s="32" t="s">
        <v>671</v>
      </c>
      <c r="E129" s="33" t="s">
        <v>44</v>
      </c>
      <c r="F129" s="34" t="s">
        <v>45</v>
      </c>
      <c r="G129" s="33" t="s">
        <v>46</v>
      </c>
      <c r="H129" s="34" t="s">
        <v>45</v>
      </c>
      <c r="I129" s="34" t="s">
        <v>45</v>
      </c>
      <c r="J129" s="34" t="s">
        <v>45</v>
      </c>
      <c r="K129" s="34" t="s">
        <v>45</v>
      </c>
      <c r="L129" s="34">
        <v>8</v>
      </c>
      <c r="M129" s="37" t="s">
        <v>672</v>
      </c>
      <c r="N129" s="20"/>
      <c r="O129" s="19" t="s">
        <v>652</v>
      </c>
      <c r="P129" s="19"/>
    </row>
    <row r="130" spans="1:16">
      <c r="A130" s="35"/>
      <c r="B130" s="31">
        <f t="shared" si="3"/>
        <v>129</v>
      </c>
      <c r="C130" s="31"/>
      <c r="D130" s="32" t="s">
        <v>673</v>
      </c>
      <c r="E130" s="33" t="s">
        <v>44</v>
      </c>
      <c r="F130" s="34" t="s">
        <v>45</v>
      </c>
      <c r="G130" s="33" t="s">
        <v>46</v>
      </c>
      <c r="H130" s="34" t="s">
        <v>45</v>
      </c>
      <c r="I130" s="34" t="s">
        <v>45</v>
      </c>
      <c r="J130" s="34" t="s">
        <v>45</v>
      </c>
      <c r="K130" s="34" t="s">
        <v>45</v>
      </c>
      <c r="L130" s="34">
        <v>8</v>
      </c>
      <c r="M130" s="37" t="s">
        <v>674</v>
      </c>
      <c r="N130" s="20"/>
      <c r="O130" s="19" t="s">
        <v>652</v>
      </c>
      <c r="P130" s="19"/>
    </row>
    <row r="131" spans="1:16">
      <c r="A131" s="35"/>
      <c r="B131" s="31">
        <f t="shared" si="3"/>
        <v>130</v>
      </c>
      <c r="C131" s="31"/>
      <c r="D131" s="32" t="s">
        <v>675</v>
      </c>
      <c r="E131" s="33" t="s">
        <v>44</v>
      </c>
      <c r="F131" s="34" t="s">
        <v>45</v>
      </c>
      <c r="G131" s="33" t="s">
        <v>46</v>
      </c>
      <c r="H131" s="34" t="s">
        <v>45</v>
      </c>
      <c r="I131" s="34" t="s">
        <v>45</v>
      </c>
      <c r="J131" s="34" t="s">
        <v>45</v>
      </c>
      <c r="K131" s="34" t="s">
        <v>45</v>
      </c>
      <c r="L131" s="34">
        <v>8</v>
      </c>
      <c r="M131" s="37" t="s">
        <v>675</v>
      </c>
      <c r="N131" s="20"/>
      <c r="O131" s="19" t="s">
        <v>652</v>
      </c>
      <c r="P131" s="19"/>
    </row>
    <row r="132" spans="1:16">
      <c r="A132" s="35"/>
      <c r="B132" s="31">
        <f t="shared" si="3"/>
        <v>131</v>
      </c>
      <c r="C132" s="31"/>
      <c r="D132" s="32" t="s">
        <v>676</v>
      </c>
      <c r="E132" s="33" t="s">
        <v>44</v>
      </c>
      <c r="F132" s="34" t="s">
        <v>45</v>
      </c>
      <c r="G132" s="33" t="s">
        <v>46</v>
      </c>
      <c r="H132" s="34" t="s">
        <v>45</v>
      </c>
      <c r="I132" s="34" t="s">
        <v>45</v>
      </c>
      <c r="J132" s="34" t="s">
        <v>45</v>
      </c>
      <c r="K132" s="34" t="s">
        <v>45</v>
      </c>
      <c r="L132" s="34">
        <v>32</v>
      </c>
      <c r="M132" s="37" t="s">
        <v>676</v>
      </c>
      <c r="N132" s="20"/>
      <c r="O132" s="19" t="s">
        <v>652</v>
      </c>
      <c r="P132" s="19"/>
    </row>
    <row r="133" spans="1:16">
      <c r="A133" s="35"/>
      <c r="B133" s="31">
        <f t="shared" si="3"/>
        <v>132</v>
      </c>
      <c r="C133" s="31"/>
      <c r="D133" s="32" t="s">
        <v>677</v>
      </c>
      <c r="E133" s="33" t="s">
        <v>44</v>
      </c>
      <c r="F133" s="34" t="s">
        <v>45</v>
      </c>
      <c r="G133" s="33" t="s">
        <v>46</v>
      </c>
      <c r="H133" s="34" t="s">
        <v>45</v>
      </c>
      <c r="I133" s="34" t="s">
        <v>45</v>
      </c>
      <c r="J133" s="34" t="s">
        <v>45</v>
      </c>
      <c r="K133" s="34" t="s">
        <v>45</v>
      </c>
      <c r="L133" s="34">
        <v>4</v>
      </c>
      <c r="M133" s="37" t="s">
        <v>678</v>
      </c>
      <c r="N133" s="20"/>
      <c r="O133" s="19" t="s">
        <v>652</v>
      </c>
      <c r="P133" s="19"/>
    </row>
    <row r="134" spans="1:16">
      <c r="A134" s="35"/>
      <c r="B134" s="31">
        <f t="shared" si="3"/>
        <v>133</v>
      </c>
      <c r="C134" s="31"/>
      <c r="D134" s="32" t="s">
        <v>679</v>
      </c>
      <c r="E134" s="33" t="s">
        <v>44</v>
      </c>
      <c r="F134" s="34" t="s">
        <v>45</v>
      </c>
      <c r="G134" s="33" t="s">
        <v>46</v>
      </c>
      <c r="H134" s="34" t="s">
        <v>45</v>
      </c>
      <c r="I134" s="34" t="s">
        <v>45</v>
      </c>
      <c r="J134" s="34" t="s">
        <v>45</v>
      </c>
      <c r="K134" s="34" t="s">
        <v>45</v>
      </c>
      <c r="L134" s="34">
        <v>4</v>
      </c>
      <c r="M134" s="37" t="s">
        <v>678</v>
      </c>
      <c r="N134" s="20"/>
      <c r="O134" s="19" t="s">
        <v>652</v>
      </c>
      <c r="P134" s="19"/>
    </row>
    <row r="135" spans="1:16">
      <c r="A135" s="35"/>
      <c r="B135" s="31">
        <f t="shared" si="3"/>
        <v>134</v>
      </c>
      <c r="C135" s="31"/>
      <c r="D135" s="32" t="s">
        <v>680</v>
      </c>
      <c r="E135" s="33" t="s">
        <v>44</v>
      </c>
      <c r="F135" s="34" t="s">
        <v>45</v>
      </c>
      <c r="G135" s="33" t="s">
        <v>46</v>
      </c>
      <c r="H135" s="34" t="s">
        <v>45</v>
      </c>
      <c r="I135" s="34" t="s">
        <v>45</v>
      </c>
      <c r="J135" s="34" t="s">
        <v>45</v>
      </c>
      <c r="K135" s="34" t="s">
        <v>45</v>
      </c>
      <c r="L135" s="34">
        <v>16</v>
      </c>
      <c r="M135" s="37" t="s">
        <v>680</v>
      </c>
      <c r="N135" s="20"/>
      <c r="O135" s="19" t="s">
        <v>652</v>
      </c>
      <c r="P135" s="19"/>
    </row>
    <row r="136" spans="1:16">
      <c r="A136" s="35"/>
      <c r="B136" s="31">
        <f t="shared" si="3"/>
        <v>135</v>
      </c>
      <c r="C136" s="31"/>
      <c r="D136" s="32" t="s">
        <v>681</v>
      </c>
      <c r="E136" s="33" t="s">
        <v>44</v>
      </c>
      <c r="F136" s="34" t="s">
        <v>45</v>
      </c>
      <c r="G136" s="33" t="s">
        <v>46</v>
      </c>
      <c r="H136" s="34" t="s">
        <v>45</v>
      </c>
      <c r="I136" s="34" t="s">
        <v>45</v>
      </c>
      <c r="J136" s="34" t="s">
        <v>45</v>
      </c>
      <c r="K136" s="34" t="s">
        <v>45</v>
      </c>
      <c r="L136" s="34">
        <v>16</v>
      </c>
      <c r="M136" s="37" t="s">
        <v>681</v>
      </c>
      <c r="N136" s="20"/>
      <c r="O136" s="19" t="s">
        <v>652</v>
      </c>
      <c r="P136" s="19"/>
    </row>
    <row r="137" spans="1:16">
      <c r="A137" s="35"/>
      <c r="B137" s="31">
        <f t="shared" si="3"/>
        <v>136</v>
      </c>
      <c r="C137" s="31"/>
      <c r="D137" s="32" t="s">
        <v>682</v>
      </c>
      <c r="E137" s="33" t="s">
        <v>44</v>
      </c>
      <c r="F137" s="34" t="s">
        <v>45</v>
      </c>
      <c r="G137" s="33" t="s">
        <v>46</v>
      </c>
      <c r="H137" s="34" t="s">
        <v>45</v>
      </c>
      <c r="I137" s="34" t="s">
        <v>45</v>
      </c>
      <c r="J137" s="34" t="s">
        <v>45</v>
      </c>
      <c r="K137" s="34" t="s">
        <v>45</v>
      </c>
      <c r="L137" s="34">
        <v>32</v>
      </c>
      <c r="M137" s="37" t="s">
        <v>682</v>
      </c>
      <c r="N137" s="20"/>
      <c r="O137" s="19" t="s">
        <v>652</v>
      </c>
      <c r="P137" s="19"/>
    </row>
    <row r="138" spans="1:16">
      <c r="A138" s="35"/>
      <c r="B138" s="31">
        <f t="shared" si="3"/>
        <v>137</v>
      </c>
      <c r="C138" s="31"/>
      <c r="D138" s="36" t="s">
        <v>683</v>
      </c>
      <c r="E138" s="33" t="s">
        <v>44</v>
      </c>
      <c r="F138" s="34" t="s">
        <v>45</v>
      </c>
      <c r="G138" s="33" t="s">
        <v>46</v>
      </c>
      <c r="H138" s="34" t="s">
        <v>45</v>
      </c>
      <c r="I138" s="34" t="s">
        <v>45</v>
      </c>
      <c r="J138" s="34" t="s">
        <v>45</v>
      </c>
      <c r="K138" s="34" t="s">
        <v>45</v>
      </c>
      <c r="L138" s="34">
        <v>8</v>
      </c>
      <c r="M138" s="37" t="s">
        <v>664</v>
      </c>
      <c r="N138" s="20"/>
      <c r="O138" s="19" t="s">
        <v>652</v>
      </c>
      <c r="P138" s="19"/>
    </row>
    <row r="139" spans="1:16">
      <c r="A139" s="35"/>
      <c r="B139" s="31">
        <f t="shared" si="3"/>
        <v>138</v>
      </c>
      <c r="C139" s="31"/>
      <c r="D139" s="32" t="s">
        <v>684</v>
      </c>
      <c r="E139" s="33" t="s">
        <v>44</v>
      </c>
      <c r="F139" s="34" t="s">
        <v>45</v>
      </c>
      <c r="G139" s="33" t="s">
        <v>46</v>
      </c>
      <c r="H139" s="34" t="s">
        <v>45</v>
      </c>
      <c r="I139" s="34" t="s">
        <v>45</v>
      </c>
      <c r="J139" s="34" t="s">
        <v>45</v>
      </c>
      <c r="K139" s="34" t="s">
        <v>45</v>
      </c>
      <c r="L139" s="34">
        <v>8</v>
      </c>
      <c r="M139" s="37" t="s">
        <v>684</v>
      </c>
      <c r="N139" s="20"/>
      <c r="O139" s="19" t="s">
        <v>652</v>
      </c>
      <c r="P139" s="19"/>
    </row>
    <row r="140" spans="1:16">
      <c r="A140" s="35"/>
      <c r="B140" s="31">
        <f t="shared" si="3"/>
        <v>139</v>
      </c>
      <c r="C140" s="31"/>
      <c r="D140" s="32" t="s">
        <v>685</v>
      </c>
      <c r="E140" s="33" t="s">
        <v>44</v>
      </c>
      <c r="F140" s="34" t="s">
        <v>45</v>
      </c>
      <c r="G140" s="33" t="s">
        <v>46</v>
      </c>
      <c r="H140" s="34" t="s">
        <v>45</v>
      </c>
      <c r="I140" s="34" t="s">
        <v>45</v>
      </c>
      <c r="J140" s="34" t="s">
        <v>45</v>
      </c>
      <c r="K140" s="34" t="s">
        <v>45</v>
      </c>
      <c r="L140" s="34">
        <v>8</v>
      </c>
      <c r="M140" s="37" t="s">
        <v>685</v>
      </c>
      <c r="N140" s="20"/>
      <c r="O140" s="19" t="s">
        <v>652</v>
      </c>
      <c r="P140" s="19"/>
    </row>
    <row r="141" spans="1:16">
      <c r="A141" s="35"/>
      <c r="B141" s="31">
        <f t="shared" si="3"/>
        <v>140</v>
      </c>
      <c r="C141" s="31"/>
      <c r="D141" s="32" t="s">
        <v>686</v>
      </c>
      <c r="E141" s="33" t="s">
        <v>44</v>
      </c>
      <c r="F141" s="34" t="s">
        <v>45</v>
      </c>
      <c r="G141" s="33" t="s">
        <v>46</v>
      </c>
      <c r="H141" s="34" t="s">
        <v>45</v>
      </c>
      <c r="I141" s="34" t="s">
        <v>45</v>
      </c>
      <c r="J141" s="34" t="s">
        <v>45</v>
      </c>
      <c r="K141" s="34" t="s">
        <v>45</v>
      </c>
      <c r="L141" s="34">
        <v>8</v>
      </c>
      <c r="M141" s="37" t="s">
        <v>686</v>
      </c>
      <c r="N141" s="20"/>
      <c r="O141" s="19" t="s">
        <v>652</v>
      </c>
      <c r="P141" s="19"/>
    </row>
    <row r="142" spans="1:16">
      <c r="A142" s="35"/>
      <c r="B142" s="31">
        <f t="shared" si="3"/>
        <v>141</v>
      </c>
      <c r="C142" s="31"/>
      <c r="D142" s="32" t="s">
        <v>687</v>
      </c>
      <c r="E142" s="33" t="s">
        <v>44</v>
      </c>
      <c r="F142" s="34" t="s">
        <v>45</v>
      </c>
      <c r="G142" s="33" t="s">
        <v>46</v>
      </c>
      <c r="H142" s="34" t="s">
        <v>45</v>
      </c>
      <c r="I142" s="34" t="s">
        <v>45</v>
      </c>
      <c r="J142" s="34" t="s">
        <v>45</v>
      </c>
      <c r="K142" s="34" t="s">
        <v>45</v>
      </c>
      <c r="L142" s="34">
        <v>8</v>
      </c>
      <c r="M142" s="37" t="s">
        <v>687</v>
      </c>
      <c r="N142" s="20"/>
      <c r="O142" s="19" t="s">
        <v>652</v>
      </c>
      <c r="P142" s="19"/>
    </row>
    <row r="143" spans="1:16">
      <c r="A143" s="35"/>
      <c r="B143" s="31">
        <f t="shared" si="3"/>
        <v>142</v>
      </c>
      <c r="C143" s="31"/>
      <c r="D143" s="32" t="s">
        <v>688</v>
      </c>
      <c r="E143" s="33" t="s">
        <v>44</v>
      </c>
      <c r="F143" s="34" t="s">
        <v>45</v>
      </c>
      <c r="G143" s="33" t="s">
        <v>46</v>
      </c>
      <c r="H143" s="34" t="s">
        <v>45</v>
      </c>
      <c r="I143" s="34" t="s">
        <v>45</v>
      </c>
      <c r="J143" s="34" t="s">
        <v>45</v>
      </c>
      <c r="K143" s="34" t="s">
        <v>45</v>
      </c>
      <c r="L143" s="34">
        <v>8</v>
      </c>
      <c r="M143" s="37" t="s">
        <v>688</v>
      </c>
      <c r="N143" s="20"/>
      <c r="O143" s="19" t="s">
        <v>652</v>
      </c>
      <c r="P143" s="19"/>
    </row>
    <row r="144" spans="1:16">
      <c r="A144" s="35"/>
      <c r="B144" s="31">
        <f t="shared" si="3"/>
        <v>143</v>
      </c>
      <c r="C144" s="31"/>
      <c r="D144" s="32" t="s">
        <v>689</v>
      </c>
      <c r="E144" s="33" t="s">
        <v>44</v>
      </c>
      <c r="F144" s="34" t="s">
        <v>45</v>
      </c>
      <c r="G144" s="33" t="s">
        <v>46</v>
      </c>
      <c r="H144" s="34" t="s">
        <v>45</v>
      </c>
      <c r="I144" s="34" t="s">
        <v>45</v>
      </c>
      <c r="J144" s="34" t="s">
        <v>45</v>
      </c>
      <c r="K144" s="34" t="s">
        <v>45</v>
      </c>
      <c r="L144" s="34">
        <v>8</v>
      </c>
      <c r="M144" s="37" t="s">
        <v>689</v>
      </c>
      <c r="N144" s="20"/>
      <c r="O144" s="19" t="s">
        <v>652</v>
      </c>
      <c r="P144" s="19"/>
    </row>
    <row r="145" spans="1:16">
      <c r="A145" s="35"/>
      <c r="B145" s="31">
        <f t="shared" si="3"/>
        <v>144</v>
      </c>
      <c r="C145" s="31"/>
      <c r="D145" s="32" t="s">
        <v>690</v>
      </c>
      <c r="E145" s="33" t="s">
        <v>44</v>
      </c>
      <c r="F145" s="34" t="s">
        <v>45</v>
      </c>
      <c r="G145" s="33" t="s">
        <v>46</v>
      </c>
      <c r="H145" s="34" t="s">
        <v>45</v>
      </c>
      <c r="I145" s="34" t="s">
        <v>45</v>
      </c>
      <c r="J145" s="34" t="s">
        <v>45</v>
      </c>
      <c r="K145" s="34" t="s">
        <v>45</v>
      </c>
      <c r="L145" s="34">
        <v>8</v>
      </c>
      <c r="M145" s="37" t="s">
        <v>690</v>
      </c>
      <c r="N145" s="20"/>
      <c r="O145" s="19" t="s">
        <v>652</v>
      </c>
      <c r="P145" s="19"/>
    </row>
    <row r="146" spans="1:16">
      <c r="A146" s="35"/>
      <c r="B146" s="31">
        <f t="shared" si="3"/>
        <v>145</v>
      </c>
      <c r="C146" s="31"/>
      <c r="D146" s="32" t="s">
        <v>691</v>
      </c>
      <c r="E146" s="33" t="s">
        <v>44</v>
      </c>
      <c r="F146" s="34" t="s">
        <v>45</v>
      </c>
      <c r="G146" s="33" t="s">
        <v>46</v>
      </c>
      <c r="H146" s="34" t="s">
        <v>45</v>
      </c>
      <c r="I146" s="34" t="s">
        <v>45</v>
      </c>
      <c r="J146" s="34" t="s">
        <v>45</v>
      </c>
      <c r="K146" s="34" t="s">
        <v>45</v>
      </c>
      <c r="L146" s="34">
        <v>8</v>
      </c>
      <c r="M146" s="37" t="s">
        <v>691</v>
      </c>
      <c r="N146" s="20"/>
      <c r="O146" s="19" t="s">
        <v>652</v>
      </c>
      <c r="P146" s="19"/>
    </row>
    <row r="147" spans="1:16">
      <c r="A147" s="38"/>
      <c r="B147" s="39">
        <v>146</v>
      </c>
      <c r="C147" s="39"/>
      <c r="D147" s="40" t="s">
        <v>232</v>
      </c>
      <c r="E147" s="41" t="s">
        <v>44</v>
      </c>
      <c r="F147" s="42" t="s">
        <v>45</v>
      </c>
      <c r="G147" s="41" t="s">
        <v>46</v>
      </c>
      <c r="H147" s="42" t="s">
        <v>45</v>
      </c>
      <c r="I147" s="42" t="s">
        <v>45</v>
      </c>
      <c r="J147" s="42" t="s">
        <v>45</v>
      </c>
      <c r="K147" s="42" t="s">
        <v>45</v>
      </c>
      <c r="L147" s="42">
        <v>8</v>
      </c>
      <c r="M147" s="40" t="s">
        <v>232</v>
      </c>
      <c r="N147" s="20"/>
      <c r="O147" s="20"/>
      <c r="P147" s="19"/>
    </row>
    <row r="157" spans="1:16">
      <c r="K157" t="s">
        <v>233</v>
      </c>
      <c r="L157" s="1">
        <f>SUM(L2:L156)</f>
        <v>1184</v>
      </c>
    </row>
  </sheetData>
  <sortState ref="B2:B115">
    <sortCondition ref="B2:B115"/>
  </sortState>
  <mergeCells count="1">
    <mergeCell ref="A2:A59"/>
  </mergeCells>
  <phoneticPr fontId="1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修改记录</vt:lpstr>
      <vt:lpstr>通道0（slot0）</vt:lpstr>
      <vt:lpstr>通道1（slot2）</vt:lpstr>
      <vt:lpstr>通道2（slot3）</vt:lpstr>
      <vt:lpstr>通道3（slot5）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李涛(北京研发部)</dc:creator>
  <cp:lastModifiedBy>吴兆礼</cp:lastModifiedBy>
  <dcterms:created xsi:type="dcterms:W3CDTF">2025-01-11T03:35:00Z</dcterms:created>
  <dcterms:modified xsi:type="dcterms:W3CDTF">2026-05-12T03:24:36Z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A9A1ED9D6E6C465D8F51AEDC13CC8D8F_12</vt:lpwstr>
  </property>
  <property fmtid="{D5CDD505-2E9C-101B-9397-08002B2CF9AE}" pid="3" name="KSOProductBuildVer">
    <vt:lpwstr>2052-12.1.0.19302</vt:lpwstr>
  </property>
</Properties>
</file>